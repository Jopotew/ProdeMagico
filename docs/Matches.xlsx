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M:\Archivos de programa\Proyectos\Github\ProdeMagico\docs\"/>
    </mc:Choice>
  </mc:AlternateContent>
  <xr:revisionPtr revIDLastSave="0" documentId="13_ncr:1_{B88BC3D7-52C9-4146-9CE1-16BC7B75CE0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Esquema" sheetId="1" r:id="rId1"/>
    <sheet name="Partidos" sheetId="2" r:id="rId2"/>
    <sheet name="Grupo A" sheetId="3" r:id="rId3"/>
    <sheet name="Grupo B" sheetId="4" r:id="rId4"/>
    <sheet name="Grupo C" sheetId="5" r:id="rId5"/>
    <sheet name="Grupo D" sheetId="6" r:id="rId6"/>
    <sheet name="Grupo E" sheetId="7" r:id="rId7"/>
    <sheet name="Grupo F" sheetId="8" r:id="rId8"/>
    <sheet name="Grupo G" sheetId="9" r:id="rId9"/>
    <sheet name="Grupo H" sheetId="10" r:id="rId10"/>
    <sheet name="Grupo I" sheetId="11" r:id="rId11"/>
    <sheet name="Grupo J" sheetId="12" r:id="rId12"/>
    <sheet name="Grupo K" sheetId="13" r:id="rId13"/>
    <sheet name="Grupo L" sheetId="14" r:id="rId14"/>
    <sheet name="Eliminatorias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7" i="15" l="1"/>
  <c r="I63" i="15"/>
  <c r="I59" i="15"/>
  <c r="H67" i="15" s="1"/>
  <c r="I58" i="15"/>
  <c r="D67" i="15" s="1"/>
  <c r="I54" i="15"/>
  <c r="H59" i="15" s="1"/>
  <c r="D54" i="15"/>
  <c r="I53" i="15"/>
  <c r="D59" i="15" s="1"/>
  <c r="I52" i="15"/>
  <c r="H58" i="15" s="1"/>
  <c r="D52" i="15"/>
  <c r="I51" i="15"/>
  <c r="D58" i="15" s="1"/>
  <c r="H51" i="15"/>
  <c r="I47" i="15"/>
  <c r="H54" i="15" s="1"/>
  <c r="H47" i="15"/>
  <c r="I46" i="15"/>
  <c r="I45" i="15"/>
  <c r="H52" i="15" s="1"/>
  <c r="I44" i="15"/>
  <c r="I43" i="15"/>
  <c r="H53" i="15" s="1"/>
  <c r="I42" i="15"/>
  <c r="D53" i="15" s="1"/>
  <c r="H42" i="15"/>
  <c r="I41" i="15"/>
  <c r="D51" i="15" s="1"/>
  <c r="I40" i="15"/>
  <c r="H40" i="15"/>
  <c r="I36" i="15"/>
  <c r="I35" i="15"/>
  <c r="D46" i="15" s="1"/>
  <c r="I34" i="15"/>
  <c r="H46" i="15" s="1"/>
  <c r="I33" i="15"/>
  <c r="D47" i="15" s="1"/>
  <c r="I32" i="15"/>
  <c r="D44" i="15" s="1"/>
  <c r="I31" i="15"/>
  <c r="H44" i="15" s="1"/>
  <c r="I30" i="15"/>
  <c r="D45" i="15" s="1"/>
  <c r="I29" i="15"/>
  <c r="H45" i="15" s="1"/>
  <c r="I28" i="15"/>
  <c r="H43" i="15" s="1"/>
  <c r="I27" i="15"/>
  <c r="D43" i="15" s="1"/>
  <c r="I26" i="15"/>
  <c r="H41" i="15" s="1"/>
  <c r="I25" i="15"/>
  <c r="I24" i="15"/>
  <c r="I23" i="15"/>
  <c r="D41" i="15" s="1"/>
  <c r="I22" i="15"/>
  <c r="D42" i="15" s="1"/>
  <c r="I21" i="15"/>
  <c r="D40" i="15" s="1"/>
  <c r="K22" i="14"/>
  <c r="K21" i="14"/>
  <c r="K20" i="14"/>
  <c r="K19" i="14"/>
  <c r="G16" i="14"/>
  <c r="F16" i="14"/>
  <c r="H16" i="14" s="1"/>
  <c r="E16" i="14"/>
  <c r="D16" i="14"/>
  <c r="C16" i="14"/>
  <c r="I16" i="14" s="1"/>
  <c r="K16" i="14" s="1"/>
  <c r="B16" i="14"/>
  <c r="I15" i="14"/>
  <c r="G15" i="14"/>
  <c r="F15" i="14"/>
  <c r="H15" i="14" s="1"/>
  <c r="E15" i="14"/>
  <c r="D15" i="14"/>
  <c r="C15" i="14"/>
  <c r="B15" i="14"/>
  <c r="G14" i="14"/>
  <c r="H14" i="14" s="1"/>
  <c r="F14" i="14"/>
  <c r="E14" i="14"/>
  <c r="D14" i="14"/>
  <c r="C14" i="14"/>
  <c r="I14" i="14" s="1"/>
  <c r="B14" i="14"/>
  <c r="G13" i="14"/>
  <c r="H13" i="14" s="1"/>
  <c r="F13" i="14"/>
  <c r="E13" i="14"/>
  <c r="D13" i="14"/>
  <c r="C13" i="14"/>
  <c r="I13" i="14" s="1"/>
  <c r="K13" i="14" s="1"/>
  <c r="B13" i="14"/>
  <c r="H10" i="14"/>
  <c r="H9" i="14"/>
  <c r="H8" i="14"/>
  <c r="H7" i="14"/>
  <c r="H6" i="14"/>
  <c r="H5" i="14"/>
  <c r="K22" i="13"/>
  <c r="K21" i="13"/>
  <c r="K20" i="13"/>
  <c r="K19" i="13"/>
  <c r="G16" i="13"/>
  <c r="H16" i="13" s="1"/>
  <c r="F16" i="13"/>
  <c r="E16" i="13"/>
  <c r="D16" i="13"/>
  <c r="C16" i="13"/>
  <c r="I16" i="13" s="1"/>
  <c r="B16" i="13"/>
  <c r="G15" i="13"/>
  <c r="F15" i="13"/>
  <c r="H15" i="13" s="1"/>
  <c r="E15" i="13"/>
  <c r="D15" i="13"/>
  <c r="C15" i="13"/>
  <c r="I15" i="13" s="1"/>
  <c r="K15" i="13" s="1"/>
  <c r="B15" i="13"/>
  <c r="G14" i="13"/>
  <c r="H14" i="13" s="1"/>
  <c r="F14" i="13"/>
  <c r="E14" i="13"/>
  <c r="D14" i="13"/>
  <c r="I14" i="13" s="1"/>
  <c r="K14" i="13" s="1"/>
  <c r="C14" i="13"/>
  <c r="B14" i="13"/>
  <c r="G13" i="13"/>
  <c r="F13" i="13"/>
  <c r="H13" i="13" s="1"/>
  <c r="E13" i="13"/>
  <c r="D13" i="13"/>
  <c r="C13" i="13"/>
  <c r="I13" i="13" s="1"/>
  <c r="B13" i="13"/>
  <c r="H10" i="13"/>
  <c r="H9" i="13"/>
  <c r="H8" i="13"/>
  <c r="H7" i="13"/>
  <c r="H6" i="13"/>
  <c r="H5" i="13"/>
  <c r="K22" i="12"/>
  <c r="K21" i="12"/>
  <c r="K20" i="12"/>
  <c r="K19" i="12"/>
  <c r="G16" i="12"/>
  <c r="H16" i="12" s="1"/>
  <c r="F16" i="12"/>
  <c r="E16" i="12"/>
  <c r="D16" i="12"/>
  <c r="C16" i="12"/>
  <c r="I16" i="12" s="1"/>
  <c r="K16" i="12" s="1"/>
  <c r="B16" i="12"/>
  <c r="G15" i="12"/>
  <c r="F15" i="12"/>
  <c r="H15" i="12" s="1"/>
  <c r="E15" i="12"/>
  <c r="D15" i="12"/>
  <c r="C15" i="12"/>
  <c r="I15" i="12" s="1"/>
  <c r="B15" i="12"/>
  <c r="I14" i="12"/>
  <c r="G14" i="12"/>
  <c r="F14" i="12"/>
  <c r="H14" i="12" s="1"/>
  <c r="E14" i="12"/>
  <c r="D14" i="12"/>
  <c r="C14" i="12"/>
  <c r="B14" i="12"/>
  <c r="G13" i="12"/>
  <c r="F13" i="12"/>
  <c r="H13" i="12" s="1"/>
  <c r="E13" i="12"/>
  <c r="D13" i="12"/>
  <c r="C13" i="12"/>
  <c r="I13" i="12" s="1"/>
  <c r="K13" i="12" s="1"/>
  <c r="B13" i="12"/>
  <c r="H10" i="12"/>
  <c r="H9" i="12"/>
  <c r="H8" i="12"/>
  <c r="H7" i="12"/>
  <c r="H6" i="12"/>
  <c r="H5" i="12"/>
  <c r="K22" i="11"/>
  <c r="K21" i="11"/>
  <c r="K20" i="11"/>
  <c r="K19" i="11"/>
  <c r="I16" i="11"/>
  <c r="K16" i="11" s="1"/>
  <c r="G16" i="11"/>
  <c r="F16" i="11"/>
  <c r="H16" i="11" s="1"/>
  <c r="E16" i="11"/>
  <c r="D16" i="11"/>
  <c r="C16" i="11"/>
  <c r="B16" i="11"/>
  <c r="G15" i="11"/>
  <c r="F15" i="11"/>
  <c r="H15" i="11" s="1"/>
  <c r="E15" i="11"/>
  <c r="D15" i="11"/>
  <c r="C15" i="11"/>
  <c r="B15" i="11"/>
  <c r="G14" i="11"/>
  <c r="H14" i="11" s="1"/>
  <c r="F14" i="11"/>
  <c r="E14" i="11"/>
  <c r="D14" i="11"/>
  <c r="I14" i="11" s="1"/>
  <c r="C14" i="11"/>
  <c r="B14" i="11"/>
  <c r="G13" i="11"/>
  <c r="F13" i="11"/>
  <c r="H13" i="11" s="1"/>
  <c r="E13" i="11"/>
  <c r="D13" i="11"/>
  <c r="I13" i="11" s="1"/>
  <c r="C13" i="11"/>
  <c r="B13" i="11"/>
  <c r="H10" i="11"/>
  <c r="H9" i="11"/>
  <c r="H8" i="11"/>
  <c r="H7" i="11"/>
  <c r="H6" i="11"/>
  <c r="H5" i="11"/>
  <c r="K22" i="10"/>
  <c r="K21" i="10"/>
  <c r="K20" i="10"/>
  <c r="K19" i="10"/>
  <c r="G16" i="10"/>
  <c r="H16" i="10" s="1"/>
  <c r="F16" i="10"/>
  <c r="E16" i="10"/>
  <c r="D16" i="10"/>
  <c r="I16" i="10" s="1"/>
  <c r="C16" i="10"/>
  <c r="B16" i="10"/>
  <c r="G15" i="10"/>
  <c r="F15" i="10"/>
  <c r="E15" i="10"/>
  <c r="D15" i="10"/>
  <c r="I15" i="10" s="1"/>
  <c r="C15" i="10"/>
  <c r="B15" i="10"/>
  <c r="I14" i="10"/>
  <c r="G14" i="10"/>
  <c r="F14" i="10"/>
  <c r="H14" i="10" s="1"/>
  <c r="K14" i="10" s="1"/>
  <c r="E14" i="10"/>
  <c r="D14" i="10"/>
  <c r="C14" i="10"/>
  <c r="B14" i="10"/>
  <c r="I13" i="10"/>
  <c r="H13" i="10"/>
  <c r="G13" i="10"/>
  <c r="F13" i="10"/>
  <c r="E13" i="10"/>
  <c r="D13" i="10"/>
  <c r="C13" i="10"/>
  <c r="B13" i="10"/>
  <c r="H10" i="10"/>
  <c r="H9" i="10"/>
  <c r="H8" i="10"/>
  <c r="H7" i="10"/>
  <c r="H6" i="10"/>
  <c r="H5" i="10"/>
  <c r="K22" i="9"/>
  <c r="K21" i="9"/>
  <c r="K20" i="9"/>
  <c r="K19" i="9"/>
  <c r="I16" i="9"/>
  <c r="K16" i="9" s="1"/>
  <c r="G16" i="9"/>
  <c r="F16" i="9"/>
  <c r="H16" i="9" s="1"/>
  <c r="E16" i="9"/>
  <c r="D16" i="9"/>
  <c r="C16" i="9"/>
  <c r="B16" i="9"/>
  <c r="G15" i="9"/>
  <c r="F15" i="9"/>
  <c r="H15" i="9" s="1"/>
  <c r="E15" i="9"/>
  <c r="D15" i="9"/>
  <c r="C15" i="9"/>
  <c r="I15" i="9" s="1"/>
  <c r="K15" i="9" s="1"/>
  <c r="B15" i="9"/>
  <c r="H14" i="9"/>
  <c r="G14" i="9"/>
  <c r="F14" i="9"/>
  <c r="E14" i="9"/>
  <c r="D14" i="9"/>
  <c r="C14" i="9"/>
  <c r="I14" i="9" s="1"/>
  <c r="K14" i="9" s="1"/>
  <c r="B14" i="9"/>
  <c r="H13" i="9"/>
  <c r="G13" i="9"/>
  <c r="F13" i="9"/>
  <c r="E13" i="9"/>
  <c r="D13" i="9"/>
  <c r="I13" i="9" s="1"/>
  <c r="K13" i="9" s="1"/>
  <c r="C13" i="9"/>
  <c r="B13" i="9"/>
  <c r="H10" i="9"/>
  <c r="H9" i="9"/>
  <c r="H8" i="9"/>
  <c r="H7" i="9"/>
  <c r="H6" i="9"/>
  <c r="H5" i="9"/>
  <c r="K22" i="8"/>
  <c r="K21" i="8"/>
  <c r="K20" i="8"/>
  <c r="K19" i="8"/>
  <c r="H16" i="8"/>
  <c r="G16" i="8"/>
  <c r="F16" i="8"/>
  <c r="E16" i="8"/>
  <c r="D16" i="8"/>
  <c r="C16" i="8"/>
  <c r="I16" i="8" s="1"/>
  <c r="K16" i="8" s="1"/>
  <c r="B16" i="8"/>
  <c r="H15" i="8"/>
  <c r="G15" i="8"/>
  <c r="F15" i="8"/>
  <c r="E15" i="8"/>
  <c r="D15" i="8"/>
  <c r="I15" i="8" s="1"/>
  <c r="K15" i="8" s="1"/>
  <c r="C15" i="8"/>
  <c r="B15" i="8"/>
  <c r="G14" i="8"/>
  <c r="F14" i="8"/>
  <c r="H14" i="8" s="1"/>
  <c r="E14" i="8"/>
  <c r="D14" i="8"/>
  <c r="C14" i="8"/>
  <c r="B14" i="8"/>
  <c r="G13" i="8"/>
  <c r="F13" i="8"/>
  <c r="E13" i="8"/>
  <c r="D13" i="8"/>
  <c r="C13" i="8"/>
  <c r="I13" i="8" s="1"/>
  <c r="B13" i="8"/>
  <c r="H10" i="8"/>
  <c r="H9" i="8"/>
  <c r="H8" i="8"/>
  <c r="H7" i="8"/>
  <c r="H6" i="8"/>
  <c r="H5" i="8"/>
  <c r="K22" i="7"/>
  <c r="K21" i="7"/>
  <c r="K20" i="7"/>
  <c r="K19" i="7"/>
  <c r="G16" i="7"/>
  <c r="F16" i="7"/>
  <c r="H16" i="7" s="1"/>
  <c r="E16" i="7"/>
  <c r="D16" i="7"/>
  <c r="C16" i="7"/>
  <c r="B16" i="7"/>
  <c r="G15" i="7"/>
  <c r="F15" i="7"/>
  <c r="E15" i="7"/>
  <c r="D15" i="7"/>
  <c r="C15" i="7"/>
  <c r="I15" i="7" s="1"/>
  <c r="B15" i="7"/>
  <c r="G14" i="7"/>
  <c r="F14" i="7"/>
  <c r="H14" i="7" s="1"/>
  <c r="E14" i="7"/>
  <c r="D14" i="7"/>
  <c r="C14" i="7"/>
  <c r="I14" i="7" s="1"/>
  <c r="B14" i="7"/>
  <c r="I13" i="7"/>
  <c r="K13" i="7" s="1"/>
  <c r="H13" i="7"/>
  <c r="G13" i="7"/>
  <c r="F13" i="7"/>
  <c r="E13" i="7"/>
  <c r="D13" i="7"/>
  <c r="C13" i="7"/>
  <c r="B13" i="7"/>
  <c r="H10" i="7"/>
  <c r="H9" i="7"/>
  <c r="H8" i="7"/>
  <c r="H7" i="7"/>
  <c r="H6" i="7"/>
  <c r="H5" i="7"/>
  <c r="K22" i="6"/>
  <c r="K21" i="6"/>
  <c r="K20" i="6"/>
  <c r="K19" i="6"/>
  <c r="G16" i="6"/>
  <c r="F16" i="6"/>
  <c r="H16" i="6" s="1"/>
  <c r="E16" i="6"/>
  <c r="D16" i="6"/>
  <c r="C16" i="6"/>
  <c r="I16" i="6" s="1"/>
  <c r="K16" i="6" s="1"/>
  <c r="B16" i="6"/>
  <c r="I15" i="6"/>
  <c r="K15" i="6" s="1"/>
  <c r="H15" i="6"/>
  <c r="G15" i="6"/>
  <c r="F15" i="6"/>
  <c r="E15" i="6"/>
  <c r="D15" i="6"/>
  <c r="C15" i="6"/>
  <c r="B15" i="6"/>
  <c r="I14" i="6"/>
  <c r="G14" i="6"/>
  <c r="H14" i="6" s="1"/>
  <c r="F14" i="6"/>
  <c r="E14" i="6"/>
  <c r="D14" i="6"/>
  <c r="C14" i="6"/>
  <c r="B14" i="6"/>
  <c r="G13" i="6"/>
  <c r="H13" i="6" s="1"/>
  <c r="F13" i="6"/>
  <c r="E13" i="6"/>
  <c r="D13" i="6"/>
  <c r="C13" i="6"/>
  <c r="I13" i="6" s="1"/>
  <c r="K13" i="6" s="1"/>
  <c r="B13" i="6"/>
  <c r="H10" i="6"/>
  <c r="H9" i="6"/>
  <c r="H8" i="6"/>
  <c r="H7" i="6"/>
  <c r="H6" i="6"/>
  <c r="H5" i="6"/>
  <c r="K22" i="5"/>
  <c r="K21" i="5"/>
  <c r="K20" i="5"/>
  <c r="K19" i="5"/>
  <c r="I16" i="5"/>
  <c r="H16" i="5"/>
  <c r="G16" i="5"/>
  <c r="F16" i="5"/>
  <c r="E16" i="5"/>
  <c r="D16" i="5"/>
  <c r="C16" i="5"/>
  <c r="B16" i="5"/>
  <c r="K15" i="5"/>
  <c r="G15" i="5"/>
  <c r="F15" i="5"/>
  <c r="H15" i="5" s="1"/>
  <c r="E15" i="5"/>
  <c r="D15" i="5"/>
  <c r="C15" i="5"/>
  <c r="I15" i="5" s="1"/>
  <c r="B15" i="5"/>
  <c r="G14" i="5"/>
  <c r="H14" i="5" s="1"/>
  <c r="F14" i="5"/>
  <c r="E14" i="5"/>
  <c r="D14" i="5"/>
  <c r="C14" i="5"/>
  <c r="I14" i="5" s="1"/>
  <c r="K14" i="5" s="1"/>
  <c r="B14" i="5"/>
  <c r="G13" i="5"/>
  <c r="F13" i="5"/>
  <c r="H13" i="5" s="1"/>
  <c r="E13" i="5"/>
  <c r="D13" i="5"/>
  <c r="C13" i="5"/>
  <c r="I13" i="5" s="1"/>
  <c r="K13" i="5" s="1"/>
  <c r="B13" i="5"/>
  <c r="H10" i="5"/>
  <c r="H9" i="5"/>
  <c r="H8" i="5"/>
  <c r="H7" i="5"/>
  <c r="H6" i="5"/>
  <c r="H5" i="5"/>
  <c r="K22" i="4"/>
  <c r="K21" i="4"/>
  <c r="K20" i="4"/>
  <c r="K19" i="4"/>
  <c r="G16" i="4"/>
  <c r="F16" i="4"/>
  <c r="E16" i="4"/>
  <c r="D16" i="4"/>
  <c r="C16" i="4"/>
  <c r="B16" i="4"/>
  <c r="G15" i="4"/>
  <c r="F15" i="4"/>
  <c r="E15" i="4"/>
  <c r="D15" i="4"/>
  <c r="C15" i="4"/>
  <c r="I15" i="4" s="1"/>
  <c r="B15" i="4"/>
  <c r="I14" i="4"/>
  <c r="G14" i="4"/>
  <c r="F14" i="4"/>
  <c r="E14" i="4"/>
  <c r="D14" i="4"/>
  <c r="C14" i="4"/>
  <c r="B14" i="4"/>
  <c r="G13" i="4"/>
  <c r="F13" i="4"/>
  <c r="H13" i="4" s="1"/>
  <c r="E13" i="4"/>
  <c r="D13" i="4"/>
  <c r="C13" i="4"/>
  <c r="B13" i="4"/>
  <c r="H10" i="4"/>
  <c r="H9" i="4"/>
  <c r="H8" i="4"/>
  <c r="H7" i="4"/>
  <c r="H6" i="4"/>
  <c r="H5" i="4"/>
  <c r="K22" i="3"/>
  <c r="K21" i="3"/>
  <c r="K20" i="3"/>
  <c r="K19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H10" i="3"/>
  <c r="H9" i="3"/>
  <c r="H8" i="3"/>
  <c r="H7" i="3"/>
  <c r="H6" i="3"/>
  <c r="H5" i="3"/>
  <c r="G73" i="2"/>
  <c r="F73" i="2"/>
  <c r="I73" i="2" s="1"/>
  <c r="I72" i="2"/>
  <c r="G72" i="2"/>
  <c r="M72" i="2" s="1"/>
  <c r="F72" i="2"/>
  <c r="G71" i="2"/>
  <c r="F71" i="2"/>
  <c r="G70" i="2"/>
  <c r="M70" i="2" s="1"/>
  <c r="F70" i="2"/>
  <c r="G69" i="2"/>
  <c r="F69" i="2"/>
  <c r="M69" i="2" s="1"/>
  <c r="M68" i="2"/>
  <c r="G68" i="2"/>
  <c r="F68" i="2"/>
  <c r="I68" i="2" s="1"/>
  <c r="G67" i="2"/>
  <c r="F67" i="2"/>
  <c r="G66" i="2"/>
  <c r="M66" i="2" s="1"/>
  <c r="F66" i="2"/>
  <c r="G65" i="2"/>
  <c r="F65" i="2"/>
  <c r="M65" i="2" s="1"/>
  <c r="G64" i="2"/>
  <c r="F64" i="2"/>
  <c r="I64" i="2" s="1"/>
  <c r="G63" i="2"/>
  <c r="F63" i="2"/>
  <c r="G62" i="2"/>
  <c r="M62" i="2" s="1"/>
  <c r="F62" i="2"/>
  <c r="G61" i="2"/>
  <c r="F61" i="2"/>
  <c r="M61" i="2" s="1"/>
  <c r="G60" i="2"/>
  <c r="F60" i="2"/>
  <c r="M60" i="2" s="1"/>
  <c r="G59" i="2"/>
  <c r="F59" i="2"/>
  <c r="G58" i="2"/>
  <c r="M58" i="2" s="1"/>
  <c r="F58" i="2"/>
  <c r="G57" i="2"/>
  <c r="F57" i="2"/>
  <c r="M57" i="2" s="1"/>
  <c r="M56" i="2"/>
  <c r="I56" i="2"/>
  <c r="G56" i="2"/>
  <c r="F56" i="2"/>
  <c r="G55" i="2"/>
  <c r="F55" i="2"/>
  <c r="G54" i="2"/>
  <c r="F54" i="2"/>
  <c r="G53" i="2"/>
  <c r="F53" i="2"/>
  <c r="I53" i="2" s="1"/>
  <c r="G52" i="2"/>
  <c r="F52" i="2"/>
  <c r="M52" i="2" s="1"/>
  <c r="G51" i="2"/>
  <c r="F51" i="2"/>
  <c r="G50" i="2"/>
  <c r="M50" i="2" s="1"/>
  <c r="F50" i="2"/>
  <c r="G49" i="2"/>
  <c r="F49" i="2"/>
  <c r="M49" i="2" s="1"/>
  <c r="G48" i="2"/>
  <c r="F48" i="2"/>
  <c r="M48" i="2" s="1"/>
  <c r="G47" i="2"/>
  <c r="F47" i="2"/>
  <c r="G46" i="2"/>
  <c r="M46" i="2" s="1"/>
  <c r="F46" i="2"/>
  <c r="G45" i="2"/>
  <c r="F45" i="2"/>
  <c r="M45" i="2" s="1"/>
  <c r="G44" i="2"/>
  <c r="F44" i="2"/>
  <c r="M44" i="2" s="1"/>
  <c r="G43" i="2"/>
  <c r="F43" i="2"/>
  <c r="G42" i="2"/>
  <c r="M42" i="2" s="1"/>
  <c r="F42" i="2"/>
  <c r="G41" i="2"/>
  <c r="F41" i="2"/>
  <c r="I41" i="2" s="1"/>
  <c r="I40" i="2"/>
  <c r="G40" i="2"/>
  <c r="M40" i="2" s="1"/>
  <c r="F40" i="2"/>
  <c r="G39" i="2"/>
  <c r="F39" i="2"/>
  <c r="G38" i="2"/>
  <c r="M38" i="2" s="1"/>
  <c r="F38" i="2"/>
  <c r="G37" i="2"/>
  <c r="F37" i="2"/>
  <c r="M37" i="2" s="1"/>
  <c r="M36" i="2"/>
  <c r="G36" i="2"/>
  <c r="F36" i="2"/>
  <c r="I36" i="2" s="1"/>
  <c r="G35" i="2"/>
  <c r="F35" i="2"/>
  <c r="G34" i="2"/>
  <c r="M34" i="2" s="1"/>
  <c r="F34" i="2"/>
  <c r="G33" i="2"/>
  <c r="F33" i="2"/>
  <c r="I33" i="2" s="1"/>
  <c r="G32" i="2"/>
  <c r="F32" i="2"/>
  <c r="I32" i="2" s="1"/>
  <c r="G31" i="2"/>
  <c r="F31" i="2"/>
  <c r="G30" i="2"/>
  <c r="M30" i="2" s="1"/>
  <c r="F30" i="2"/>
  <c r="G29" i="2"/>
  <c r="F29" i="2"/>
  <c r="G28" i="2"/>
  <c r="F28" i="2"/>
  <c r="I28" i="2" s="1"/>
  <c r="G27" i="2"/>
  <c r="F27" i="2"/>
  <c r="G26" i="2"/>
  <c r="F26" i="2"/>
  <c r="G25" i="2"/>
  <c r="F25" i="2"/>
  <c r="M25" i="2" s="1"/>
  <c r="M24" i="2"/>
  <c r="I24" i="2"/>
  <c r="G24" i="2"/>
  <c r="F24" i="2"/>
  <c r="G23" i="2"/>
  <c r="F23" i="2"/>
  <c r="G22" i="2"/>
  <c r="M22" i="2" s="1"/>
  <c r="F22" i="2"/>
  <c r="G21" i="2"/>
  <c r="F21" i="2"/>
  <c r="I21" i="2" s="1"/>
  <c r="G20" i="2"/>
  <c r="F20" i="2"/>
  <c r="M20" i="2" s="1"/>
  <c r="G19" i="2"/>
  <c r="F19" i="2"/>
  <c r="G18" i="2"/>
  <c r="M18" i="2" s="1"/>
  <c r="F18" i="2"/>
  <c r="G17" i="2"/>
  <c r="F17" i="2"/>
  <c r="M17" i="2" s="1"/>
  <c r="G16" i="2"/>
  <c r="F16" i="2"/>
  <c r="M16" i="2" s="1"/>
  <c r="G15" i="2"/>
  <c r="F15" i="2"/>
  <c r="G14" i="2"/>
  <c r="M14" i="2" s="1"/>
  <c r="F14" i="2"/>
  <c r="G13" i="2"/>
  <c r="F13" i="2"/>
  <c r="M13" i="2" s="1"/>
  <c r="G12" i="2"/>
  <c r="F12" i="2"/>
  <c r="M12" i="2" s="1"/>
  <c r="G11" i="2"/>
  <c r="F11" i="2"/>
  <c r="G10" i="2"/>
  <c r="M10" i="2" s="1"/>
  <c r="F10" i="2"/>
  <c r="G9" i="2"/>
  <c r="F9" i="2"/>
  <c r="I9" i="2" s="1"/>
  <c r="G8" i="2"/>
  <c r="I8" i="2" s="1"/>
  <c r="F8" i="2"/>
  <c r="M8" i="2" s="1"/>
  <c r="G7" i="2"/>
  <c r="F7" i="2"/>
  <c r="G6" i="2"/>
  <c r="F6" i="2"/>
  <c r="G5" i="2"/>
  <c r="F5" i="2"/>
  <c r="M5" i="2" s="1"/>
  <c r="G4" i="2"/>
  <c r="M4" i="2" s="1"/>
  <c r="F4" i="2"/>
  <c r="G3" i="2"/>
  <c r="F3" i="2"/>
  <c r="G2" i="2"/>
  <c r="F2" i="2"/>
  <c r="M6" i="2" l="1"/>
  <c r="I16" i="4"/>
  <c r="H16" i="4"/>
  <c r="H14" i="4"/>
  <c r="I13" i="4"/>
  <c r="K13" i="4" s="1"/>
  <c r="H15" i="4"/>
  <c r="K15" i="4"/>
  <c r="I4" i="2"/>
  <c r="M54" i="2"/>
  <c r="M29" i="2"/>
  <c r="M26" i="2"/>
  <c r="I16" i="3"/>
  <c r="M2" i="2"/>
  <c r="H16" i="3"/>
  <c r="I14" i="3"/>
  <c r="H14" i="3"/>
  <c r="I13" i="3"/>
  <c r="H15" i="3"/>
  <c r="G22" i="9"/>
  <c r="E19" i="9"/>
  <c r="E22" i="9"/>
  <c r="I20" i="9"/>
  <c r="C19" i="9"/>
  <c r="D22" i="9"/>
  <c r="H20" i="9"/>
  <c r="B19" i="9"/>
  <c r="D29" i="15" s="1"/>
  <c r="E20" i="9"/>
  <c r="J21" i="9"/>
  <c r="C11" i="15" s="1"/>
  <c r="F11" i="15" s="1"/>
  <c r="D20" i="9"/>
  <c r="I21" i="9"/>
  <c r="D11" i="15" s="1"/>
  <c r="C20" i="9"/>
  <c r="H21" i="9"/>
  <c r="B20" i="9"/>
  <c r="H34" i="15" s="1"/>
  <c r="G21" i="9"/>
  <c r="E11" i="15" s="1"/>
  <c r="F21" i="9"/>
  <c r="J19" i="9"/>
  <c r="E21" i="9"/>
  <c r="I19" i="9"/>
  <c r="J22" i="9"/>
  <c r="D21" i="9"/>
  <c r="H19" i="9"/>
  <c r="B21" i="9"/>
  <c r="B11" i="15" s="1"/>
  <c r="C22" i="9"/>
  <c r="J20" i="9"/>
  <c r="G20" i="9"/>
  <c r="F20" i="9"/>
  <c r="G19" i="9"/>
  <c r="F19" i="9"/>
  <c r="D19" i="9"/>
  <c r="I22" i="9"/>
  <c r="H22" i="9"/>
  <c r="F22" i="9"/>
  <c r="B22" i="9"/>
  <c r="C21" i="9"/>
  <c r="J22" i="6"/>
  <c r="D21" i="6"/>
  <c r="B22" i="6"/>
  <c r="E20" i="6"/>
  <c r="J19" i="6"/>
  <c r="F21" i="12"/>
  <c r="K16" i="13"/>
  <c r="G19" i="5"/>
  <c r="E19" i="5"/>
  <c r="B21" i="5"/>
  <c r="B7" i="15" s="1"/>
  <c r="F19" i="5"/>
  <c r="F22" i="5"/>
  <c r="J20" i="5"/>
  <c r="D19" i="5"/>
  <c r="B19" i="5"/>
  <c r="D22" i="15" s="1"/>
  <c r="F20" i="5"/>
  <c r="H15" i="10"/>
  <c r="K15" i="10" s="1"/>
  <c r="K13" i="11"/>
  <c r="J21" i="12"/>
  <c r="C14" i="15" s="1"/>
  <c r="M51" i="2"/>
  <c r="I51" i="2"/>
  <c r="D21" i="5"/>
  <c r="B22" i="12"/>
  <c r="I15" i="3"/>
  <c r="I44" i="2"/>
  <c r="M32" i="2"/>
  <c r="M64" i="2"/>
  <c r="K13" i="10"/>
  <c r="I12" i="2"/>
  <c r="I20" i="2"/>
  <c r="M27" i="2"/>
  <c r="I27" i="2"/>
  <c r="I52" i="2"/>
  <c r="M59" i="2"/>
  <c r="I59" i="2"/>
  <c r="H13" i="3"/>
  <c r="H21" i="5"/>
  <c r="H15" i="7"/>
  <c r="K15" i="7" s="1"/>
  <c r="K16" i="10"/>
  <c r="G21" i="14"/>
  <c r="E16" i="15" s="1"/>
  <c r="D21" i="14"/>
  <c r="H19" i="14"/>
  <c r="C22" i="14"/>
  <c r="G20" i="14"/>
  <c r="M19" i="2"/>
  <c r="I19" i="2"/>
  <c r="M39" i="2"/>
  <c r="I39" i="2"/>
  <c r="J21" i="5"/>
  <c r="C7" i="15" s="1"/>
  <c r="K15" i="14"/>
  <c r="I19" i="14" s="1"/>
  <c r="M7" i="2"/>
  <c r="I7" i="2"/>
  <c r="M47" i="2"/>
  <c r="I47" i="2"/>
  <c r="H13" i="8"/>
  <c r="K13" i="8" s="1"/>
  <c r="K14" i="11"/>
  <c r="M63" i="2"/>
  <c r="I63" i="2"/>
  <c r="E20" i="12"/>
  <c r="C20" i="12"/>
  <c r="H21" i="12"/>
  <c r="B20" i="12"/>
  <c r="H31" i="15" s="1"/>
  <c r="E21" i="12"/>
  <c r="I19" i="12"/>
  <c r="J22" i="12"/>
  <c r="D21" i="12"/>
  <c r="H19" i="12"/>
  <c r="I22" i="12"/>
  <c r="F19" i="12"/>
  <c r="E19" i="12"/>
  <c r="F22" i="12"/>
  <c r="J20" i="12"/>
  <c r="D19" i="12"/>
  <c r="E22" i="12"/>
  <c r="I20" i="12"/>
  <c r="C19" i="12"/>
  <c r="D22" i="12"/>
  <c r="H20" i="12"/>
  <c r="M15" i="2"/>
  <c r="I15" i="2"/>
  <c r="M3" i="2"/>
  <c r="I3" i="2"/>
  <c r="I16" i="7"/>
  <c r="K16" i="7" s="1"/>
  <c r="J22" i="5"/>
  <c r="I60" i="2"/>
  <c r="M71" i="2"/>
  <c r="I71" i="2"/>
  <c r="M35" i="2"/>
  <c r="I35" i="2"/>
  <c r="M67" i="2"/>
  <c r="I67" i="2"/>
  <c r="M28" i="2"/>
  <c r="I16" i="2"/>
  <c r="M23" i="2"/>
  <c r="I23" i="2"/>
  <c r="I48" i="2"/>
  <c r="M55" i="2"/>
  <c r="I55" i="2"/>
  <c r="K16" i="5"/>
  <c r="I21" i="5" s="1"/>
  <c r="D7" i="15" s="1"/>
  <c r="I14" i="8"/>
  <c r="K14" i="8" s="1"/>
  <c r="K14" i="12"/>
  <c r="C21" i="12" s="1"/>
  <c r="K14" i="14"/>
  <c r="F19" i="14" s="1"/>
  <c r="K14" i="3"/>
  <c r="K16" i="3"/>
  <c r="H19" i="5"/>
  <c r="K14" i="7"/>
  <c r="F20" i="12"/>
  <c r="K13" i="13"/>
  <c r="M11" i="2"/>
  <c r="I11" i="2"/>
  <c r="M43" i="2"/>
  <c r="I43" i="2"/>
  <c r="K14" i="4"/>
  <c r="I15" i="11"/>
  <c r="K15" i="11" s="1"/>
  <c r="K15" i="12"/>
  <c r="D20" i="12" s="1"/>
  <c r="G20" i="12"/>
  <c r="M31" i="2"/>
  <c r="I31" i="2"/>
  <c r="K14" i="6"/>
  <c r="E19" i="6" s="1"/>
  <c r="I17" i="2"/>
  <c r="I5" i="2"/>
  <c r="I13" i="2"/>
  <c r="I25" i="2"/>
  <c r="I29" i="2"/>
  <c r="I37" i="2"/>
  <c r="I45" i="2"/>
  <c r="I49" i="2"/>
  <c r="I57" i="2"/>
  <c r="I61" i="2"/>
  <c r="I65" i="2"/>
  <c r="I69" i="2"/>
  <c r="M9" i="2"/>
  <c r="M21" i="2"/>
  <c r="M33" i="2"/>
  <c r="M41" i="2"/>
  <c r="M53" i="2"/>
  <c r="M73" i="2"/>
  <c r="I2" i="2"/>
  <c r="I6" i="2"/>
  <c r="I10" i="2"/>
  <c r="I14" i="2"/>
  <c r="I18" i="2"/>
  <c r="I22" i="2"/>
  <c r="I26" i="2"/>
  <c r="I30" i="2"/>
  <c r="I34" i="2"/>
  <c r="I38" i="2"/>
  <c r="I42" i="2"/>
  <c r="I46" i="2"/>
  <c r="I50" i="2"/>
  <c r="I54" i="2"/>
  <c r="I58" i="2"/>
  <c r="I62" i="2"/>
  <c r="I66" i="2"/>
  <c r="I70" i="2"/>
  <c r="D63" i="15"/>
  <c r="H63" i="15"/>
  <c r="K16" i="4" l="1"/>
  <c r="B20" i="4" s="1"/>
  <c r="H21" i="15" s="1"/>
  <c r="C21" i="4"/>
  <c r="D20" i="4"/>
  <c r="C22" i="4"/>
  <c r="I22" i="4"/>
  <c r="H19" i="4"/>
  <c r="D21" i="4"/>
  <c r="D22" i="4"/>
  <c r="I19" i="4"/>
  <c r="J20" i="4"/>
  <c r="E21" i="4"/>
  <c r="B22" i="4"/>
  <c r="B19" i="4"/>
  <c r="D33" i="15" s="1"/>
  <c r="H21" i="4"/>
  <c r="F22" i="4"/>
  <c r="F21" i="4"/>
  <c r="E19" i="4"/>
  <c r="G22" i="4"/>
  <c r="F19" i="4"/>
  <c r="J19" i="4"/>
  <c r="B21" i="4"/>
  <c r="B6" i="15" s="1"/>
  <c r="H22" i="4"/>
  <c r="G19" i="4"/>
  <c r="K15" i="3"/>
  <c r="K13" i="3"/>
  <c r="D20" i="3" s="1"/>
  <c r="B22" i="7"/>
  <c r="D19" i="7"/>
  <c r="C21" i="7"/>
  <c r="G19" i="7"/>
  <c r="I21" i="7"/>
  <c r="D9" i="15" s="1"/>
  <c r="J21" i="7"/>
  <c r="C9" i="15" s="1"/>
  <c r="H22" i="7"/>
  <c r="D20" i="7"/>
  <c r="B21" i="7"/>
  <c r="B9" i="15" s="1"/>
  <c r="C20" i="7"/>
  <c r="C22" i="3"/>
  <c r="G20" i="3"/>
  <c r="E20" i="3"/>
  <c r="J21" i="3"/>
  <c r="C5" i="15" s="1"/>
  <c r="J22" i="3"/>
  <c r="D21" i="3"/>
  <c r="H19" i="3"/>
  <c r="H22" i="3"/>
  <c r="I22" i="3"/>
  <c r="C21" i="3"/>
  <c r="G19" i="3"/>
  <c r="B21" i="3"/>
  <c r="B5" i="15" s="1"/>
  <c r="F19" i="3"/>
  <c r="G22" i="3"/>
  <c r="E19" i="3"/>
  <c r="F22" i="3"/>
  <c r="D19" i="3"/>
  <c r="E22" i="3"/>
  <c r="C19" i="3"/>
  <c r="D22" i="3"/>
  <c r="B19" i="3"/>
  <c r="D27" i="15" s="1"/>
  <c r="B22" i="3"/>
  <c r="C20" i="3"/>
  <c r="I21" i="3"/>
  <c r="D5" i="15" s="1"/>
  <c r="H21" i="3"/>
  <c r="F20" i="3"/>
  <c r="H20" i="3"/>
  <c r="C19" i="7"/>
  <c r="I22" i="8"/>
  <c r="C21" i="8"/>
  <c r="G19" i="8"/>
  <c r="G22" i="8"/>
  <c r="E19" i="8"/>
  <c r="F22" i="8"/>
  <c r="J20" i="8"/>
  <c r="D19" i="8"/>
  <c r="C22" i="8"/>
  <c r="G20" i="8"/>
  <c r="B22" i="8"/>
  <c r="F20" i="8"/>
  <c r="E20" i="8"/>
  <c r="J21" i="8"/>
  <c r="C10" i="15" s="1"/>
  <c r="D20" i="8"/>
  <c r="I21" i="8"/>
  <c r="D10" i="15" s="1"/>
  <c r="C20" i="8"/>
  <c r="H21" i="8"/>
  <c r="B20" i="8"/>
  <c r="H22" i="15" s="1"/>
  <c r="G21" i="8"/>
  <c r="E10" i="15" s="1"/>
  <c r="F21" i="8"/>
  <c r="J19" i="8"/>
  <c r="H22" i="8"/>
  <c r="E22" i="8"/>
  <c r="H19" i="8"/>
  <c r="D22" i="8"/>
  <c r="C19" i="8"/>
  <c r="E21" i="8"/>
  <c r="D21" i="8"/>
  <c r="B21" i="8"/>
  <c r="B10" i="15" s="1"/>
  <c r="I20" i="8"/>
  <c r="H20" i="8"/>
  <c r="I19" i="8"/>
  <c r="F19" i="8"/>
  <c r="J22" i="8"/>
  <c r="B19" i="8"/>
  <c r="D24" i="15" s="1"/>
  <c r="B22" i="14"/>
  <c r="H22" i="14"/>
  <c r="J21" i="6"/>
  <c r="C8" i="15" s="1"/>
  <c r="G22" i="6"/>
  <c r="F20" i="6"/>
  <c r="H19" i="6"/>
  <c r="B20" i="6"/>
  <c r="D34" i="15" s="1"/>
  <c r="G20" i="6"/>
  <c r="I19" i="6"/>
  <c r="B19" i="14"/>
  <c r="D28" i="15" s="1"/>
  <c r="F20" i="7"/>
  <c r="I19" i="7"/>
  <c r="D22" i="14"/>
  <c r="E21" i="14"/>
  <c r="E20" i="5"/>
  <c r="H22" i="5"/>
  <c r="C20" i="6"/>
  <c r="C22" i="6"/>
  <c r="E21" i="6"/>
  <c r="E20" i="7"/>
  <c r="C19" i="14"/>
  <c r="J19" i="14"/>
  <c r="B21" i="6"/>
  <c r="B8" i="15" s="1"/>
  <c r="B19" i="6"/>
  <c r="D30" i="15" s="1"/>
  <c r="G21" i="6"/>
  <c r="E8" i="15" s="1"/>
  <c r="I22" i="7"/>
  <c r="F21" i="14"/>
  <c r="B22" i="5"/>
  <c r="G22" i="5"/>
  <c r="C21" i="6"/>
  <c r="H20" i="6"/>
  <c r="D22" i="6"/>
  <c r="I21" i="13"/>
  <c r="D15" i="15" s="1"/>
  <c r="C20" i="13"/>
  <c r="G21" i="13"/>
  <c r="E15" i="15" s="1"/>
  <c r="F21" i="13"/>
  <c r="J19" i="13"/>
  <c r="J22" i="13"/>
  <c r="D21" i="13"/>
  <c r="H19" i="13"/>
  <c r="I22" i="13"/>
  <c r="C21" i="13"/>
  <c r="G19" i="13"/>
  <c r="E20" i="13"/>
  <c r="H22" i="13"/>
  <c r="B21" i="13"/>
  <c r="B15" i="15" s="1"/>
  <c r="F19" i="13"/>
  <c r="G22" i="13"/>
  <c r="E19" i="13"/>
  <c r="F22" i="13"/>
  <c r="J20" i="13"/>
  <c r="D19" i="13"/>
  <c r="E22" i="13"/>
  <c r="I20" i="13"/>
  <c r="C19" i="13"/>
  <c r="D22" i="13"/>
  <c r="H20" i="13"/>
  <c r="B19" i="13"/>
  <c r="D36" i="15" s="1"/>
  <c r="C22" i="13"/>
  <c r="G20" i="13"/>
  <c r="B22" i="13"/>
  <c r="F20" i="13"/>
  <c r="J21" i="13"/>
  <c r="C15" i="15" s="1"/>
  <c r="H21" i="13"/>
  <c r="E21" i="13"/>
  <c r="D20" i="13"/>
  <c r="B20" i="13"/>
  <c r="D32" i="15" s="1"/>
  <c r="I19" i="13"/>
  <c r="C22" i="11"/>
  <c r="G20" i="11"/>
  <c r="E20" i="11"/>
  <c r="J21" i="11"/>
  <c r="C13" i="15" s="1"/>
  <c r="F13" i="15" s="1"/>
  <c r="D20" i="11"/>
  <c r="G21" i="11"/>
  <c r="E13" i="15" s="1"/>
  <c r="F21" i="11"/>
  <c r="J19" i="11"/>
  <c r="E21" i="11"/>
  <c r="I19" i="11"/>
  <c r="J22" i="11"/>
  <c r="D21" i="11"/>
  <c r="H19" i="11"/>
  <c r="I22" i="11"/>
  <c r="C21" i="11"/>
  <c r="G19" i="11"/>
  <c r="H22" i="11"/>
  <c r="B21" i="11"/>
  <c r="B13" i="15" s="1"/>
  <c r="F19" i="11"/>
  <c r="G22" i="11"/>
  <c r="E19" i="11"/>
  <c r="F22" i="11"/>
  <c r="J20" i="11"/>
  <c r="D19" i="11"/>
  <c r="F20" i="11"/>
  <c r="I20" i="11"/>
  <c r="C20" i="11"/>
  <c r="B20" i="11"/>
  <c r="H25" i="15" s="1"/>
  <c r="H21" i="11"/>
  <c r="C19" i="11"/>
  <c r="B19" i="11"/>
  <c r="D26" i="15" s="1"/>
  <c r="E22" i="11"/>
  <c r="D22" i="11"/>
  <c r="B22" i="11"/>
  <c r="I21" i="11"/>
  <c r="D13" i="15" s="1"/>
  <c r="H20" i="11"/>
  <c r="I20" i="14"/>
  <c r="E22" i="14"/>
  <c r="B19" i="7"/>
  <c r="D23" i="15" s="1"/>
  <c r="J19" i="12"/>
  <c r="G22" i="12"/>
  <c r="I21" i="12"/>
  <c r="D14" i="15" s="1"/>
  <c r="D19" i="14"/>
  <c r="B20" i="14"/>
  <c r="H32" i="15" s="1"/>
  <c r="D20" i="5"/>
  <c r="H20" i="5"/>
  <c r="C21" i="5"/>
  <c r="H21" i="6"/>
  <c r="C19" i="6"/>
  <c r="F21" i="7"/>
  <c r="F21" i="6"/>
  <c r="J20" i="14"/>
  <c r="H21" i="14"/>
  <c r="E22" i="10"/>
  <c r="I20" i="10"/>
  <c r="C19" i="10"/>
  <c r="C22" i="10"/>
  <c r="G20" i="10"/>
  <c r="B22" i="10"/>
  <c r="F20" i="10"/>
  <c r="I21" i="10"/>
  <c r="D12" i="15" s="1"/>
  <c r="C20" i="10"/>
  <c r="H21" i="10"/>
  <c r="B20" i="10"/>
  <c r="H35" i="15" s="1"/>
  <c r="G21" i="10"/>
  <c r="E12" i="15" s="1"/>
  <c r="F21" i="10"/>
  <c r="J19" i="10"/>
  <c r="E21" i="10"/>
  <c r="I19" i="10"/>
  <c r="J22" i="10"/>
  <c r="D21" i="10"/>
  <c r="H19" i="10"/>
  <c r="I22" i="10"/>
  <c r="C21" i="10"/>
  <c r="G19" i="10"/>
  <c r="H22" i="10"/>
  <c r="B21" i="10"/>
  <c r="B12" i="15" s="1"/>
  <c r="F19" i="10"/>
  <c r="D20" i="10"/>
  <c r="E19" i="10"/>
  <c r="D19" i="10"/>
  <c r="B19" i="10"/>
  <c r="D31" i="15" s="1"/>
  <c r="H20" i="10"/>
  <c r="G22" i="10"/>
  <c r="F22" i="10"/>
  <c r="D22" i="10"/>
  <c r="J21" i="10"/>
  <c r="C12" i="15" s="1"/>
  <c r="F12" i="15" s="1"/>
  <c r="J20" i="10"/>
  <c r="E20" i="10"/>
  <c r="G20" i="5"/>
  <c r="I22" i="5"/>
  <c r="I21" i="6"/>
  <c r="D8" i="15" s="1"/>
  <c r="I20" i="6"/>
  <c r="F22" i="14"/>
  <c r="E21" i="5"/>
  <c r="D22" i="5"/>
  <c r="J19" i="5"/>
  <c r="H22" i="6"/>
  <c r="E22" i="6"/>
  <c r="H20" i="14"/>
  <c r="E21" i="7"/>
  <c r="G19" i="14"/>
  <c r="C22" i="7"/>
  <c r="C22" i="12"/>
  <c r="D22" i="7"/>
  <c r="I19" i="5"/>
  <c r="B21" i="12"/>
  <c r="B14" i="15" s="1"/>
  <c r="D20" i="14"/>
  <c r="E19" i="14"/>
  <c r="I21" i="14"/>
  <c r="D16" i="15" s="1"/>
  <c r="J21" i="4"/>
  <c r="C6" i="15" s="1"/>
  <c r="H20" i="4"/>
  <c r="C19" i="5"/>
  <c r="F21" i="5"/>
  <c r="I22" i="6"/>
  <c r="D19" i="6"/>
  <c r="G21" i="12"/>
  <c r="E14" i="15" s="1"/>
  <c r="F14" i="15" s="1"/>
  <c r="J22" i="14"/>
  <c r="H19" i="7"/>
  <c r="G21" i="7"/>
  <c r="E9" i="15" s="1"/>
  <c r="J20" i="7"/>
  <c r="J19" i="7"/>
  <c r="E19" i="7"/>
  <c r="G20" i="7"/>
  <c r="C20" i="14"/>
  <c r="G20" i="4"/>
  <c r="F20" i="4"/>
  <c r="G22" i="7"/>
  <c r="I20" i="7"/>
  <c r="H22" i="12"/>
  <c r="J21" i="14"/>
  <c r="C16" i="15" s="1"/>
  <c r="F16" i="15" s="1"/>
  <c r="G22" i="14"/>
  <c r="C19" i="4"/>
  <c r="C20" i="4"/>
  <c r="I20" i="5"/>
  <c r="G21" i="5"/>
  <c r="E7" i="15" s="1"/>
  <c r="F7" i="15" s="1"/>
  <c r="F19" i="6"/>
  <c r="J20" i="6"/>
  <c r="B20" i="5"/>
  <c r="H24" i="15" s="1"/>
  <c r="H20" i="7"/>
  <c r="J22" i="7"/>
  <c r="B20" i="7"/>
  <c r="D25" i="15" s="1"/>
  <c r="E22" i="7"/>
  <c r="G19" i="12"/>
  <c r="E20" i="14"/>
  <c r="D21" i="7"/>
  <c r="I20" i="4"/>
  <c r="I21" i="4"/>
  <c r="D6" i="15" s="1"/>
  <c r="E22" i="5"/>
  <c r="C20" i="5"/>
  <c r="G19" i="6"/>
  <c r="F22" i="6"/>
  <c r="C21" i="14"/>
  <c r="I22" i="14"/>
  <c r="H21" i="7"/>
  <c r="F19" i="7"/>
  <c r="B19" i="12"/>
  <c r="D35" i="15" s="1"/>
  <c r="F20" i="14"/>
  <c r="B21" i="14"/>
  <c r="B16" i="15" s="1"/>
  <c r="E22" i="4"/>
  <c r="E20" i="4"/>
  <c r="C22" i="5"/>
  <c r="D20" i="6"/>
  <c r="F22" i="7"/>
  <c r="D19" i="4" l="1"/>
  <c r="G21" i="4"/>
  <c r="E6" i="15" s="1"/>
  <c r="F6" i="15" s="1"/>
  <c r="J22" i="4"/>
  <c r="I19" i="3"/>
  <c r="I20" i="3"/>
  <c r="F21" i="3"/>
  <c r="B20" i="3"/>
  <c r="D21" i="15" s="1"/>
  <c r="J19" i="3"/>
  <c r="J20" i="3"/>
  <c r="E21" i="3"/>
  <c r="G21" i="3"/>
  <c r="E5" i="15" s="1"/>
  <c r="F5" i="15" s="1"/>
  <c r="F10" i="15"/>
  <c r="F8" i="15"/>
  <c r="F9" i="15"/>
  <c r="F15" i="15"/>
  <c r="G7" i="15" l="1"/>
  <c r="H7" i="15" s="1"/>
  <c r="G16" i="15"/>
  <c r="H16" i="15" s="1"/>
  <c r="G9" i="15"/>
  <c r="H9" i="15" s="1"/>
  <c r="G11" i="15"/>
  <c r="H11" i="15" s="1"/>
  <c r="G13" i="15"/>
  <c r="H13" i="15" s="1"/>
  <c r="G6" i="15"/>
  <c r="H6" i="15" s="1"/>
  <c r="G15" i="15"/>
  <c r="H15" i="15" s="1"/>
  <c r="G8" i="15"/>
  <c r="H8" i="15" s="1"/>
  <c r="G10" i="15"/>
  <c r="H10" i="15" s="1"/>
  <c r="G12" i="15"/>
  <c r="H12" i="15" s="1"/>
  <c r="G5" i="15"/>
  <c r="G14" i="15"/>
  <c r="H14" i="15" s="1"/>
  <c r="H36" i="15" l="1"/>
  <c r="H30" i="15"/>
  <c r="H29" i="15"/>
  <c r="H23" i="15"/>
  <c r="H28" i="15"/>
  <c r="H33" i="15"/>
  <c r="H27" i="15"/>
  <c r="H5" i="15"/>
  <c r="H2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100-000001000000}">
      <text>
        <r>
          <rPr>
            <sz val="10"/>
            <rFont val="Arial"/>
            <family val="2"/>
          </rPr>
          <t>Hora de inicio del partido en horario de Argentina (UTC-3).</t>
        </r>
      </text>
    </comment>
    <comment ref="F1" authorId="0" shapeId="0" xr:uid="{00000000-0006-0000-0100-000002000000}">
      <text>
        <r>
          <rPr>
            <sz val="10"/>
            <rFont val="Arial"/>
            <family val="2"/>
          </rPr>
          <t>Calculado desde hoja del grupo. Para editar, ir a la hoja del grupo.</t>
        </r>
      </text>
    </comment>
    <comment ref="G1" authorId="0" shapeId="0" xr:uid="{00000000-0006-0000-0100-000003000000}">
      <text>
        <r>
          <rPr>
            <sz val="10"/>
            <rFont val="Arial"/>
            <family val="2"/>
          </rPr>
          <t>Calculado desde hoja del grupo. Para editar, ir a la hoja del grupo.</t>
        </r>
      </text>
    </comment>
    <comment ref="K1" authorId="0" shapeId="0" xr:uid="{00000000-0006-0000-0100-000004000000}">
      <text>
        <r>
          <rPr>
            <sz val="10"/>
            <rFont val="Arial"/>
            <family val="2"/>
          </rPr>
          <t>Direccion exacta (hoja + celda) donde escribir GolesLocal. Util para Elixir.</t>
        </r>
      </text>
    </comment>
    <comment ref="L1" authorId="0" shapeId="0" xr:uid="{00000000-0006-0000-0100-000005000000}">
      <text>
        <r>
          <rPr>
            <sz val="10"/>
            <rFont val="Arial"/>
            <family val="2"/>
          </rPr>
          <t>Direccion exacta (hoja + celda) donde escribir GolesVisitante. Util para Elixir.</t>
        </r>
      </text>
    </comment>
    <comment ref="M1" authorId="0" shapeId="0" xr:uid="{00000000-0006-0000-0100-000006000000}">
      <text>
        <r>
          <rPr>
            <sz val="10"/>
            <rFont val="Arial"/>
            <family val="2"/>
          </rPr>
          <t>TRUE si el partido ya tiene resultado cargado (ambos goles no vacios), FALSE en caso contrario.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0" authorId="0" shapeId="0" xr:uid="{00000000-0006-0000-0E00-000001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  <comment ref="I39" authorId="0" shapeId="0" xr:uid="{00000000-0006-0000-0E00-000002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  <comment ref="I50" authorId="0" shapeId="0" xr:uid="{00000000-0006-0000-0E00-000003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  <comment ref="I57" authorId="0" shapeId="0" xr:uid="{00000000-0006-0000-0E00-000004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  <comment ref="I62" authorId="0" shapeId="0" xr:uid="{00000000-0006-0000-0E00-000005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  <comment ref="I66" authorId="0" shapeId="0" xr:uid="{00000000-0006-0000-0E00-000006000000}">
      <text>
        <r>
          <rPr>
            <sz val="10"/>
            <rFont val="Arial"/>
            <family val="2"/>
          </rPr>
          <t>Calculado segun goles. Si hay empate (penales/prorroga), escribir el equipo ganador en la columna Override.</t>
        </r>
      </text>
    </comment>
  </commentList>
</comments>
</file>

<file path=xl/sharedStrings.xml><?xml version="1.0" encoding="utf-8"?>
<sst xmlns="http://schemas.openxmlformats.org/spreadsheetml/2006/main" count="1854" uniqueCount="484">
  <si>
    <t>Mundial 2026 - Esquema del archivo</t>
  </si>
  <si>
    <t>Hoja</t>
  </si>
  <si>
    <t>Descripcion</t>
  </si>
  <si>
    <t>Grupo A..L</t>
  </si>
  <si>
    <t>FUENTE DE VERDAD. Editar los goles directamente en las celdas amarillas.</t>
  </si>
  <si>
    <t>La tabla de posiciones de ese grupo se recalcula al ingresar el resultado.</t>
  </si>
  <si>
    <t>Las fechas y horarios estan en hora Argentina (UTC-3).</t>
  </si>
  <si>
    <t>Partidos</t>
  </si>
  <si>
    <t>Vista consolidada de todos los partidos de grupos (read-only para goles).</t>
  </si>
  <si>
    <t>Incluye columna 'Hora (ARG)' con el kickoff. Columnas CeldaGolesLocal/CeldaGolesVisitante: direcciones para Elixir.</t>
  </si>
  <si>
    <t>Eliminatorias</t>
  </si>
  <si>
    <t>Bracket completo (R32, R16, Cuartos, Semis, 3er Puesto, Final).</t>
  </si>
  <si>
    <t>Goles editables en cada partido. El ganador se propaga al siguiente cruce automaticamente.</t>
  </si>
  <si>
    <t>Columna 'Override' (azul): en caso de empate (penales/prorroga), escribir ahi el equipo ganador.</t>
  </si>
  <si>
    <t>Incluye fecha y hora (ARG) de cada partido.</t>
  </si>
  <si>
    <t>Esquema</t>
  </si>
  <si>
    <t>Esta hoja.</t>
  </si>
  <si>
    <t>Como editar</t>
  </si>
  <si>
    <t>Desde la app de Excel/LibreOffice</t>
  </si>
  <si>
    <t>Abrir 'Grupo X', escribir goles en columnas C y E (amarillas), filas 5..10.</t>
  </si>
  <si>
    <t>Desde Elixir</t>
  </si>
  <si>
    <t>Cada fila en hoja 'Partidos' incluye CeldaGolesLocal y CeldaGolesVisitante,</t>
  </si>
  <si>
    <t>que son la direccion exacta (ej: 'Grupo J!C5') donde escribir.</t>
  </si>
  <si>
    <t>Esquema (hoja Partidos)</t>
  </si>
  <si>
    <t>MatchID</t>
  </si>
  <si>
    <t>Identificador estable. Formato 'A1'..'L6'. Clave para Elixir.</t>
  </si>
  <si>
    <t>Grupo</t>
  </si>
  <si>
    <t>Letra del grupo (A-L).</t>
  </si>
  <si>
    <t>Fecha</t>
  </si>
  <si>
    <t>YYYY-MM-DD.</t>
  </si>
  <si>
    <t>Local / Visitante</t>
  </si>
  <si>
    <t>Texto del equipo.</t>
  </si>
  <si>
    <t>GolesLocal / GolesVisitante</t>
  </si>
  <si>
    <t>ENTEROS. Calculado desde la hoja del grupo. Vacio = no jugado.</t>
  </si>
  <si>
    <t>Resultado</t>
  </si>
  <si>
    <t>'L' (gana local), 'V' (gana visitante), 'E' (empate), '' (sin jugar).</t>
  </si>
  <si>
    <t>Sede</t>
  </si>
  <si>
    <t>Estadio y ciudad.</t>
  </si>
  <si>
    <t>CeldaGolesLocal</t>
  </si>
  <si>
    <t>Direccion absoluta (Hoja!Celda) donde Elixir debe escribir GolesLocal.</t>
  </si>
  <si>
    <t>CeldaGolesVisitante</t>
  </si>
  <si>
    <t>Direccion absoluta (Hoja!Celda) donde Elixir debe escribir GolesVisitante.</t>
  </si>
  <si>
    <t>Finalizado</t>
  </si>
  <si>
    <t>TRUE/FALSE. Calculado: TRUE cuando ambos goles ya estan cargados.</t>
  </si>
  <si>
    <t>Consumo desde Elixir</t>
  </si>
  <si>
    <t>Lectura</t>
  </si>
  <si>
    <t>Abrir el .xlsx, leer hoja 'Partidos'. Goles ya calculados.</t>
  </si>
  <si>
    <t>Escritura</t>
  </si>
  <si>
    <t>Para registrar un resultado: tomar MatchID, leer la fila en 'Partidos', usar CeldaGolesLocal</t>
  </si>
  <si>
    <t>y CeldaGolesVisitante para saber donde escribir. Ej: 'Grupo J!C5' = celda C5 de la hoja 'Grupo J'.</t>
  </si>
  <si>
    <t>Librerias</t>
  </si>
  <si>
    <t>Lectura: xlsx_reader o :exoffice. Escritura preservando formulas es complicada;</t>
  </si>
  <si>
    <t>mas simple: mantener estado en Elixir (BD/struct) y regenerar el xlsx cuando se necesita visualizar.</t>
  </si>
  <si>
    <t>Tabla nombrada</t>
  </si>
  <si>
    <t>Hoja Partidos contiene la tabla Excel 'tbl_Partidos' (facilita el parsing).</t>
  </si>
  <si>
    <t>Hora (ARG)</t>
  </si>
  <si>
    <t>Local</t>
  </si>
  <si>
    <t>GolesLocal</t>
  </si>
  <si>
    <t>GolesVisitante</t>
  </si>
  <si>
    <t>Visitante</t>
  </si>
  <si>
    <t>A1</t>
  </si>
  <si>
    <t>A</t>
  </si>
  <si>
    <t>2026-06-11</t>
  </si>
  <si>
    <t>16:00</t>
  </si>
  <si>
    <t>Mexico</t>
  </si>
  <si>
    <t>Sudafrica</t>
  </si>
  <si>
    <t>Estadio Azteca, CDMX</t>
  </si>
  <si>
    <t>Grupo A!D5</t>
  </si>
  <si>
    <t>Grupo A!F5</t>
  </si>
  <si>
    <t>A2</t>
  </si>
  <si>
    <t>23:00</t>
  </si>
  <si>
    <t>Corea del Sur</t>
  </si>
  <si>
    <t>Chequia</t>
  </si>
  <si>
    <t>Estadio Akron, Guadalajara</t>
  </si>
  <si>
    <t>Grupo A!D6</t>
  </si>
  <si>
    <t>Grupo A!F6</t>
  </si>
  <si>
    <t>B1</t>
  </si>
  <si>
    <t>B</t>
  </si>
  <si>
    <t>2026-06-12</t>
  </si>
  <si>
    <t>Canada</t>
  </si>
  <si>
    <t>Bosnia y Herzegovina</t>
  </si>
  <si>
    <t>BMO Field, Toronto</t>
  </si>
  <si>
    <t>Grupo B!D5</t>
  </si>
  <si>
    <t>Grupo B!F5</t>
  </si>
  <si>
    <t>D1</t>
  </si>
  <si>
    <t>D</t>
  </si>
  <si>
    <t>22:00</t>
  </si>
  <si>
    <t>Estados Unidos</t>
  </si>
  <si>
    <t>Paraguay</t>
  </si>
  <si>
    <t>SoFi Stadium, Inglewood</t>
  </si>
  <si>
    <t>Grupo D!D5</t>
  </si>
  <si>
    <t>Grupo D!F5</t>
  </si>
  <si>
    <t>B2</t>
  </si>
  <si>
    <t>2026-06-13</t>
  </si>
  <si>
    <t>Qatar</t>
  </si>
  <si>
    <t>Suiza</t>
  </si>
  <si>
    <t>Levi's Stadium, Santa Clara</t>
  </si>
  <si>
    <t>Grupo B!D6</t>
  </si>
  <si>
    <t>Grupo B!F6</t>
  </si>
  <si>
    <t>C1</t>
  </si>
  <si>
    <t>C</t>
  </si>
  <si>
    <t>19:00</t>
  </si>
  <si>
    <t>Brasil</t>
  </si>
  <si>
    <t>Marruecos</t>
  </si>
  <si>
    <t>MetLife Stadium, East Rutherford</t>
  </si>
  <si>
    <t>Grupo C!D5</t>
  </si>
  <si>
    <t>Grupo C!F5</t>
  </si>
  <si>
    <t>C2</t>
  </si>
  <si>
    <t>Haiti</t>
  </si>
  <si>
    <t>Escocia</t>
  </si>
  <si>
    <t>Gillette Stadium, Foxboro</t>
  </si>
  <si>
    <t>Grupo C!D6</t>
  </si>
  <si>
    <t>Grupo C!F6</t>
  </si>
  <si>
    <t>D2</t>
  </si>
  <si>
    <t>2026-06-14</t>
  </si>
  <si>
    <t>01:00</t>
  </si>
  <si>
    <t>Australia</t>
  </si>
  <si>
    <t>Turquia</t>
  </si>
  <si>
    <t>BC Place, Vancouver</t>
  </si>
  <si>
    <t>Grupo D!D6</t>
  </si>
  <si>
    <t>Grupo D!F6</t>
  </si>
  <si>
    <t>E1</t>
  </si>
  <si>
    <t>E</t>
  </si>
  <si>
    <t>14:00</t>
  </si>
  <si>
    <t>Alemania</t>
  </si>
  <si>
    <t>Curazao</t>
  </si>
  <si>
    <t>NRG Stadium, Houston</t>
  </si>
  <si>
    <t>Grupo E!D5</t>
  </si>
  <si>
    <t>Grupo E!F5</t>
  </si>
  <si>
    <t>F1</t>
  </si>
  <si>
    <t>F</t>
  </si>
  <si>
    <t>17:00</t>
  </si>
  <si>
    <t>Paises Bajos</t>
  </si>
  <si>
    <t>Japon</t>
  </si>
  <si>
    <t>AT&amp;T Stadium, Arlington</t>
  </si>
  <si>
    <t>Grupo F!D5</t>
  </si>
  <si>
    <t>Grupo F!F5</t>
  </si>
  <si>
    <t>E2</t>
  </si>
  <si>
    <t>20:00</t>
  </si>
  <si>
    <t>Costa de Marfil</t>
  </si>
  <si>
    <t>Ecuador</t>
  </si>
  <si>
    <t>Lincoln Financial Field, Philadelphia</t>
  </si>
  <si>
    <t>Grupo E!D6</t>
  </si>
  <si>
    <t>Grupo E!F6</t>
  </si>
  <si>
    <t>F2</t>
  </si>
  <si>
    <t>Suecia</t>
  </si>
  <si>
    <t>Tunez</t>
  </si>
  <si>
    <t>Estadio BBVA, Monterrey</t>
  </si>
  <si>
    <t>Grupo F!D6</t>
  </si>
  <si>
    <t>Grupo F!F6</t>
  </si>
  <si>
    <t>H1</t>
  </si>
  <si>
    <t>H</t>
  </si>
  <si>
    <t>2026-06-15</t>
  </si>
  <si>
    <t>13:00</t>
  </si>
  <si>
    <t>España</t>
  </si>
  <si>
    <t>Cabo Verde</t>
  </si>
  <si>
    <t>Mercedes-Benz Stadium, Atlanta</t>
  </si>
  <si>
    <t>Grupo H!D5</t>
  </si>
  <si>
    <t>Grupo H!F5</t>
  </si>
  <si>
    <t>G1</t>
  </si>
  <si>
    <t>G</t>
  </si>
  <si>
    <t>Belgica</t>
  </si>
  <si>
    <t>Egipto</t>
  </si>
  <si>
    <t>Lumen Field, Seattle</t>
  </si>
  <si>
    <t>Grupo G!D5</t>
  </si>
  <si>
    <t>Grupo G!F5</t>
  </si>
  <si>
    <t>H2</t>
  </si>
  <si>
    <t>Arabia Saudita</t>
  </si>
  <si>
    <t>Uruguay</t>
  </si>
  <si>
    <t>Hard Rock Stadium, Miami</t>
  </si>
  <si>
    <t>Grupo H!D6</t>
  </si>
  <si>
    <t>Grupo H!F6</t>
  </si>
  <si>
    <t>G2</t>
  </si>
  <si>
    <t>Iran</t>
  </si>
  <si>
    <t>Nueva Zelanda</t>
  </si>
  <si>
    <t>Grupo G!D6</t>
  </si>
  <si>
    <t>Grupo G!F6</t>
  </si>
  <si>
    <t>I1</t>
  </si>
  <si>
    <t>I</t>
  </si>
  <si>
    <t>2026-06-16</t>
  </si>
  <si>
    <t>Francia</t>
  </si>
  <si>
    <t>Senegal</t>
  </si>
  <si>
    <t>Grupo I!D5</t>
  </si>
  <si>
    <t>Grupo I!F5</t>
  </si>
  <si>
    <t>I2</t>
  </si>
  <si>
    <t>Irak</t>
  </si>
  <si>
    <t>Noruega</t>
  </si>
  <si>
    <t>Grupo I!D6</t>
  </si>
  <si>
    <t>Grupo I!F6</t>
  </si>
  <si>
    <t>J1</t>
  </si>
  <si>
    <t>J</t>
  </si>
  <si>
    <t>Argentina</t>
  </si>
  <si>
    <t>Argelia</t>
  </si>
  <si>
    <t>Arrowhead Stadium, Kansas City</t>
  </si>
  <si>
    <t>Grupo J!D5</t>
  </si>
  <si>
    <t>Grupo J!F5</t>
  </si>
  <si>
    <t>J2</t>
  </si>
  <si>
    <t>2026-06-17</t>
  </si>
  <si>
    <t>Austria</t>
  </si>
  <si>
    <t>Jordania</t>
  </si>
  <si>
    <t>Grupo J!D6</t>
  </si>
  <si>
    <t>Grupo J!F6</t>
  </si>
  <si>
    <t>K1</t>
  </si>
  <si>
    <t>K</t>
  </si>
  <si>
    <t>Portugal</t>
  </si>
  <si>
    <t>RD del Congo</t>
  </si>
  <si>
    <t>Grupo K!D5</t>
  </si>
  <si>
    <t>Grupo K!F5</t>
  </si>
  <si>
    <t>L1</t>
  </si>
  <si>
    <t>L</t>
  </si>
  <si>
    <t>Inglaterra</t>
  </si>
  <si>
    <t>Croacia</t>
  </si>
  <si>
    <t>Grupo L!D5</t>
  </si>
  <si>
    <t>Grupo L!F5</t>
  </si>
  <si>
    <t>L2</t>
  </si>
  <si>
    <t>Ghana</t>
  </si>
  <si>
    <t>Panama</t>
  </si>
  <si>
    <t>Grupo L!D6</t>
  </si>
  <si>
    <t>Grupo L!F6</t>
  </si>
  <si>
    <t>K2</t>
  </si>
  <si>
    <t>Uzbekistan</t>
  </si>
  <si>
    <t>Colombia</t>
  </si>
  <si>
    <t>Grupo K!D6</t>
  </si>
  <si>
    <t>Grupo K!F6</t>
  </si>
  <si>
    <t>A3</t>
  </si>
  <si>
    <t>2026-06-18</t>
  </si>
  <si>
    <t>Grupo A!D7</t>
  </si>
  <si>
    <t>Grupo A!F7</t>
  </si>
  <si>
    <t>B3</t>
  </si>
  <si>
    <t>Grupo B!D7</t>
  </si>
  <si>
    <t>Grupo B!F7</t>
  </si>
  <si>
    <t>B4</t>
  </si>
  <si>
    <t>Grupo B!D8</t>
  </si>
  <si>
    <t>Grupo B!F8</t>
  </si>
  <si>
    <t>A4</t>
  </si>
  <si>
    <t>Grupo A!D8</t>
  </si>
  <si>
    <t>Grupo A!F8</t>
  </si>
  <si>
    <t>D3</t>
  </si>
  <si>
    <t>2026-06-19</t>
  </si>
  <si>
    <t>Grupo D!D7</t>
  </si>
  <si>
    <t>Grupo D!F7</t>
  </si>
  <si>
    <t>C3</t>
  </si>
  <si>
    <t>Grupo C!D7</t>
  </si>
  <si>
    <t>Grupo C!F7</t>
  </si>
  <si>
    <t>C4</t>
  </si>
  <si>
    <t>21:30</t>
  </si>
  <si>
    <t>Grupo C!D8</t>
  </si>
  <si>
    <t>Grupo C!F8</t>
  </si>
  <si>
    <t>D4</t>
  </si>
  <si>
    <t>2026-06-20</t>
  </si>
  <si>
    <t>00:00</t>
  </si>
  <si>
    <t>Grupo D!D8</t>
  </si>
  <si>
    <t>Grupo D!F8</t>
  </si>
  <si>
    <t>F3</t>
  </si>
  <si>
    <t>Grupo F!D7</t>
  </si>
  <si>
    <t>Grupo F!F7</t>
  </si>
  <si>
    <t>E3</t>
  </si>
  <si>
    <t>Grupo E!D7</t>
  </si>
  <si>
    <t>Grupo E!F7</t>
  </si>
  <si>
    <t>E4</t>
  </si>
  <si>
    <t>21:00</t>
  </si>
  <si>
    <t>Grupo E!D8</t>
  </si>
  <si>
    <t>Grupo E!F8</t>
  </si>
  <si>
    <t>F4</t>
  </si>
  <si>
    <t>2026-06-21</t>
  </si>
  <si>
    <t>Grupo F!D8</t>
  </si>
  <si>
    <t>Grupo F!F8</t>
  </si>
  <si>
    <t>H3</t>
  </si>
  <si>
    <t>Grupo H!D7</t>
  </si>
  <si>
    <t>Grupo H!F7</t>
  </si>
  <si>
    <t>G3</t>
  </si>
  <si>
    <t>Grupo G!D7</t>
  </si>
  <si>
    <t>Grupo G!F7</t>
  </si>
  <si>
    <t>H4</t>
  </si>
  <si>
    <t>Grupo H!D8</t>
  </si>
  <si>
    <t>Grupo H!F8</t>
  </si>
  <si>
    <t>G4</t>
  </si>
  <si>
    <t>Grupo G!D8</t>
  </si>
  <si>
    <t>Grupo G!F8</t>
  </si>
  <si>
    <t>J3</t>
  </si>
  <si>
    <t>2026-06-22</t>
  </si>
  <si>
    <t>Grupo J!D7</t>
  </si>
  <si>
    <t>Grupo J!F7</t>
  </si>
  <si>
    <t>I3</t>
  </si>
  <si>
    <t>18:00</t>
  </si>
  <si>
    <t>Grupo I!D7</t>
  </si>
  <si>
    <t>Grupo I!F7</t>
  </si>
  <si>
    <t>I4</t>
  </si>
  <si>
    <t>Grupo I!D8</t>
  </si>
  <si>
    <t>Grupo I!F8</t>
  </si>
  <si>
    <t>J4</t>
  </si>
  <si>
    <t>2026-06-23</t>
  </si>
  <si>
    <t>Grupo J!D8</t>
  </si>
  <si>
    <t>Grupo J!F8</t>
  </si>
  <si>
    <t>K3</t>
  </si>
  <si>
    <t>Grupo K!D7</t>
  </si>
  <si>
    <t>Grupo K!F7</t>
  </si>
  <si>
    <t>L3</t>
  </si>
  <si>
    <t>Grupo L!D7</t>
  </si>
  <si>
    <t>Grupo L!F7</t>
  </si>
  <si>
    <t>L4</t>
  </si>
  <si>
    <t>Grupo L!D8</t>
  </si>
  <si>
    <t>Grupo L!F8</t>
  </si>
  <si>
    <t>K4</t>
  </si>
  <si>
    <t>Grupo K!D8</t>
  </si>
  <si>
    <t>Grupo K!F8</t>
  </si>
  <si>
    <t>B5</t>
  </si>
  <si>
    <t>2026-06-24</t>
  </si>
  <si>
    <t>Grupo B!D9</t>
  </si>
  <si>
    <t>Grupo B!F9</t>
  </si>
  <si>
    <t>B6</t>
  </si>
  <si>
    <t>Grupo B!D10</t>
  </si>
  <si>
    <t>Grupo B!F10</t>
  </si>
  <si>
    <t>C5</t>
  </si>
  <si>
    <t>Grupo C!D9</t>
  </si>
  <si>
    <t>Grupo C!F9</t>
  </si>
  <si>
    <t>C6</t>
  </si>
  <si>
    <t>Grupo C!D10</t>
  </si>
  <si>
    <t>Grupo C!F10</t>
  </si>
  <si>
    <t>A5</t>
  </si>
  <si>
    <t>Grupo A!D9</t>
  </si>
  <si>
    <t>Grupo A!F9</t>
  </si>
  <si>
    <t>A6</t>
  </si>
  <si>
    <t>Grupo A!D10</t>
  </si>
  <si>
    <t>Grupo A!F10</t>
  </si>
  <si>
    <t>E5</t>
  </si>
  <si>
    <t>2026-06-25</t>
  </si>
  <si>
    <t>Grupo E!D9</t>
  </si>
  <si>
    <t>Grupo E!F9</t>
  </si>
  <si>
    <t>E6</t>
  </si>
  <si>
    <t>Grupo E!D10</t>
  </si>
  <si>
    <t>Grupo E!F10</t>
  </si>
  <si>
    <t>F5</t>
  </si>
  <si>
    <t>Grupo F!D9</t>
  </si>
  <si>
    <t>Grupo F!F9</t>
  </si>
  <si>
    <t>F6</t>
  </si>
  <si>
    <t>Grupo F!D10</t>
  </si>
  <si>
    <t>Grupo F!F10</t>
  </si>
  <si>
    <t>D5</t>
  </si>
  <si>
    <t>Grupo D!D9</t>
  </si>
  <si>
    <t>Grupo D!F9</t>
  </si>
  <si>
    <t>D6</t>
  </si>
  <si>
    <t>Grupo D!D10</t>
  </si>
  <si>
    <t>Grupo D!F10</t>
  </si>
  <si>
    <t>I5</t>
  </si>
  <si>
    <t>2026-06-26</t>
  </si>
  <si>
    <t>Grupo I!D9</t>
  </si>
  <si>
    <t>Grupo I!F9</t>
  </si>
  <si>
    <t>I6</t>
  </si>
  <si>
    <t>Grupo I!D10</t>
  </si>
  <si>
    <t>Grupo I!F10</t>
  </si>
  <si>
    <t>H5</t>
  </si>
  <si>
    <t>Grupo H!D9</t>
  </si>
  <si>
    <t>Grupo H!F9</t>
  </si>
  <si>
    <t>H6</t>
  </si>
  <si>
    <t>Grupo H!D10</t>
  </si>
  <si>
    <t>Grupo H!F10</t>
  </si>
  <si>
    <t>G5</t>
  </si>
  <si>
    <t>2026-06-27</t>
  </si>
  <si>
    <t>Grupo G!D9</t>
  </si>
  <si>
    <t>Grupo G!F9</t>
  </si>
  <si>
    <t>G6</t>
  </si>
  <si>
    <t>Grupo G!D10</t>
  </si>
  <si>
    <t>Grupo G!F10</t>
  </si>
  <si>
    <t>L5</t>
  </si>
  <si>
    <t>Grupo L!D9</t>
  </si>
  <si>
    <t>Grupo L!F9</t>
  </si>
  <si>
    <t>L6</t>
  </si>
  <si>
    <t>Grupo L!D10</t>
  </si>
  <si>
    <t>Grupo L!F10</t>
  </si>
  <si>
    <t>K5</t>
  </si>
  <si>
    <t>20:30</t>
  </si>
  <si>
    <t>Grupo K!D9</t>
  </si>
  <si>
    <t>Grupo K!F9</t>
  </si>
  <si>
    <t>K6</t>
  </si>
  <si>
    <t>Grupo K!D10</t>
  </si>
  <si>
    <t>Grupo K!F10</t>
  </si>
  <si>
    <t>J5</t>
  </si>
  <si>
    <t>Grupo J!D9</t>
  </si>
  <si>
    <t>Grupo J!F9</t>
  </si>
  <si>
    <t>J6</t>
  </si>
  <si>
    <t>Grupo J!D10</t>
  </si>
  <si>
    <t>Grupo J!F10</t>
  </si>
  <si>
    <t>Grupo A</t>
  </si>
  <si>
    <t>(las celdas amarillas son editables)</t>
  </si>
  <si>
    <t>Goles</t>
  </si>
  <si>
    <t>-</t>
  </si>
  <si>
    <t>Tabla (no ordenada)</t>
  </si>
  <si>
    <t>Equipo</t>
  </si>
  <si>
    <t>PJ</t>
  </si>
  <si>
    <t>PG</t>
  </si>
  <si>
    <t>PE</t>
  </si>
  <si>
    <t>PP</t>
  </si>
  <si>
    <t>GF</t>
  </si>
  <si>
    <t>GC</t>
  </si>
  <si>
    <t>DG</t>
  </si>
  <si>
    <t>Pts</t>
  </si>
  <si>
    <t>Score</t>
  </si>
  <si>
    <t>Tabla de posiciones (en vivo)</t>
  </si>
  <si>
    <t>#</t>
  </si>
  <si>
    <t>Estado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</si>
  <si>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</si>
  <si>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</si>
  <si>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</si>
  <si>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</si>
  <si>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</si>
  <si>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</si>
  <si>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</si>
  <si>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</si>
  <si>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</si>
  <si>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</si>
  <si>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</si>
  <si>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Eliminatorias - Prediccion en vivo (horarios en hora Argentina, UTC-3)</t>
  </si>
  <si>
    <t>Mejores terceros lugares</t>
  </si>
  <si>
    <t>Rank</t>
  </si>
  <si>
    <t>Clasifica</t>
  </si>
  <si>
    <t>Octavos de Final - Round of 32 (16 partidos)</t>
  </si>
  <si>
    <t>ID</t>
  </si>
  <si>
    <t>Equipo 1</t>
  </si>
  <si>
    <t>Equipo 2</t>
  </si>
  <si>
    <t>Ganador</t>
  </si>
  <si>
    <t>Override</t>
  </si>
  <si>
    <t>M73</t>
  </si>
  <si>
    <t>2026-06-28</t>
  </si>
  <si>
    <t>M76</t>
  </si>
  <si>
    <t>2026-06-29</t>
  </si>
  <si>
    <t>M74</t>
  </si>
  <si>
    <t>17:30</t>
  </si>
  <si>
    <t>Gillette Stadium, Boston</t>
  </si>
  <si>
    <t>M75</t>
  </si>
  <si>
    <t>M78</t>
  </si>
  <si>
    <t>2026-06-30</t>
  </si>
  <si>
    <t>AT&amp;T Stadium, Dallas</t>
  </si>
  <si>
    <t>M77</t>
  </si>
  <si>
    <t>M79</t>
  </si>
  <si>
    <t>M80</t>
  </si>
  <si>
    <t>2026-07-01</t>
  </si>
  <si>
    <t>M82</t>
  </si>
  <si>
    <t>M81</t>
  </si>
  <si>
    <t>Levi's Stadium, San Francisco Bay</t>
  </si>
  <si>
    <t>M84</t>
  </si>
  <si>
    <t>2026-07-02</t>
  </si>
  <si>
    <t>M83</t>
  </si>
  <si>
    <t>M85</t>
  </si>
  <si>
    <t>2026-07-03</t>
  </si>
  <si>
    <t>M88</t>
  </si>
  <si>
    <t>15:00</t>
  </si>
  <si>
    <t>M86</t>
  </si>
  <si>
    <t>M87</t>
  </si>
  <si>
    <t>22:30</t>
  </si>
  <si>
    <t>Dieciseisavos / Round of 16 (8 partidos)</t>
  </si>
  <si>
    <t>M90</t>
  </si>
  <si>
    <t>2026-07-04</t>
  </si>
  <si>
    <t>M89</t>
  </si>
  <si>
    <t>M91</t>
  </si>
  <si>
    <t>2026-07-05</t>
  </si>
  <si>
    <t>M92</t>
  </si>
  <si>
    <t>M93</t>
  </si>
  <si>
    <t>2026-07-06</t>
  </si>
  <si>
    <t>M94</t>
  </si>
  <si>
    <t>M95</t>
  </si>
  <si>
    <t>2026-07-07</t>
  </si>
  <si>
    <t>M96</t>
  </si>
  <si>
    <t>Cuartos de Final (4 partidos)</t>
  </si>
  <si>
    <t>M97</t>
  </si>
  <si>
    <t>2026-07-09</t>
  </si>
  <si>
    <t>M98</t>
  </si>
  <si>
    <t>2026-07-10</t>
  </si>
  <si>
    <t>M99</t>
  </si>
  <si>
    <t>2026-07-11</t>
  </si>
  <si>
    <t>M100</t>
  </si>
  <si>
    <t>Semifinales (2 partidos)</t>
  </si>
  <si>
    <t>M101</t>
  </si>
  <si>
    <t>2026-07-14</t>
  </si>
  <si>
    <t>M102</t>
  </si>
  <si>
    <t>2026-07-15</t>
  </si>
  <si>
    <t>Tercer Puesto</t>
  </si>
  <si>
    <t>M103</t>
  </si>
  <si>
    <t>2026-07-18</t>
  </si>
  <si>
    <t>FINAL</t>
  </si>
  <si>
    <t>M104</t>
  </si>
  <si>
    <t>2026-07-19</t>
  </si>
  <si>
    <t>Notas: la columna 'Override' sirve para indicar el ganador en caso de empate (penales o ET).</t>
  </si>
  <si>
    <t>El emparejamiento contra '3er mejor' usa el ranking general; FIFA aplica una matriz precisa segun los grupos clasificados de los 3ros.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</si>
</sst>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14"/>
      <color rgb="FFFFFFFF"/>
      <name val="Arial"/>
      <charset val="1"/>
    </font>
    <font>
      <i/>
      <sz val="10"/>
      <color rgb="FF495057"/>
      <name val="Arial"/>
      <charset val="1"/>
    </font>
    <font>
      <i/>
      <sz val="9"/>
      <color rgb="FF66666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1F3F5"/>
        <bgColor rgb="FFE9ECEF"/>
      </patternFill>
    </fill>
    <fill>
      <patternFill patternType="solid">
        <fgColor rgb="FF495057"/>
        <bgColor rgb="FF666666"/>
      </patternFill>
    </fill>
    <fill>
      <patternFill patternType="solid">
        <fgColor rgb="FFE9ECEF"/>
        <bgColor rgb="FFF1F3F5"/>
      </patternFill>
    </fill>
    <fill>
      <patternFill patternType="solid">
        <fgColor rgb="FF3B5BDB"/>
        <bgColor rgb="FF0066CC"/>
      </patternFill>
    </fill>
    <fill>
      <patternFill patternType="solid">
        <fgColor rgb="FFFFF3BF"/>
        <bgColor rgb="FFF1F3F5"/>
      </patternFill>
    </fill>
    <fill>
      <patternFill patternType="solid">
        <fgColor rgb="FFB2F2BB"/>
        <bgColor rgb="FFD0EBFF"/>
      </patternFill>
    </fill>
    <fill>
      <patternFill patternType="solid">
        <fgColor rgb="FFFFC9C9"/>
        <bgColor rgb="FFCED4DA"/>
      </patternFill>
    </fill>
    <fill>
      <patternFill patternType="solid">
        <fgColor rgb="FFD0EBFF"/>
        <bgColor rgb="FFE9ECEF"/>
      </patternFill>
    </fill>
  </fills>
  <borders count="2">
    <border>
      <left/>
      <right/>
      <top/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inden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0" fontId="2" fillId="0" borderId="1" xfId="0" applyFont="1" applyBorder="1"/>
    <xf numFmtId="0" fontId="0" fillId="7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8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C9C9"/>
        </patternFill>
      </fill>
    </dxf>
    <dxf>
      <fill>
        <patternFill>
          <bgColor rgb="FFB2F2BB"/>
        </patternFill>
      </fill>
    </dxf>
    <dxf>
      <fill>
        <patternFill>
          <bgColor rgb="FFB2F2B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D0EBFF"/>
      <rgbColor rgb="FF660066"/>
      <rgbColor rgb="FFFF8080"/>
      <rgbColor rgb="FF0066CC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B2F2BB"/>
      <rgbColor rgb="FFF1F3F5"/>
      <rgbColor rgb="FF99CCFF"/>
      <rgbColor rgb="FFFF99CC"/>
      <rgbColor rgb="FFCC99FF"/>
      <rgbColor rgb="FFFFC9C9"/>
      <rgbColor rgb="FF3B5BD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95057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tidos" displayName="tbl_Partidos" ref="A1:M73" totalsRowShown="0">
  <autoFilter ref="A1:M73" xr:uid="{00000000-0009-0000-0100-000001000000}"/>
  <tableColumns count="13">
    <tableColumn id="1" xr3:uid="{00000000-0010-0000-0000-000001000000}" name="MatchID"/>
    <tableColumn id="2" xr3:uid="{00000000-0010-0000-0000-000002000000}" name="Grupo"/>
    <tableColumn id="3" xr3:uid="{00000000-0010-0000-0000-000003000000}" name="Fecha"/>
    <tableColumn id="4" xr3:uid="{00000000-0010-0000-0000-000004000000}" name="Hora (ARG)"/>
    <tableColumn id="5" xr3:uid="{00000000-0010-0000-0000-000005000000}" name="Local"/>
    <tableColumn id="6" xr3:uid="{00000000-0010-0000-0000-000006000000}" name="GolesLocal"/>
    <tableColumn id="7" xr3:uid="{00000000-0010-0000-0000-000007000000}" name="GolesVisitante"/>
    <tableColumn id="8" xr3:uid="{00000000-0010-0000-0000-000008000000}" name="Visitante"/>
    <tableColumn id="9" xr3:uid="{00000000-0010-0000-0000-000009000000}" name="Resultado"/>
    <tableColumn id="10" xr3:uid="{00000000-0010-0000-0000-00000A000000}" name="Sede"/>
    <tableColumn id="11" xr3:uid="{00000000-0010-0000-0000-00000B000000}" name="CeldaGolesLocal"/>
    <tableColumn id="12" xr3:uid="{00000000-0010-0000-0000-00000C000000}" name="CeldaGolesVisitante"/>
    <tableColumn id="13" xr3:uid="{00000000-0010-0000-0000-00000D000000}" name="Finaliz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showGridLines="0" zoomScaleNormal="100" workbookViewId="0"/>
  </sheetViews>
  <sheetFormatPr baseColWidth="10" defaultColWidth="8.7109375" defaultRowHeight="15" x14ac:dyDescent="0.25"/>
  <cols>
    <col min="1" max="1" width="36" customWidth="1"/>
    <col min="2" max="2" width="95" customWidth="1"/>
  </cols>
  <sheetData>
    <row r="1" spans="1:2" ht="31.5" customHeight="1" x14ac:dyDescent="0.25">
      <c r="A1" s="24" t="s">
        <v>0</v>
      </c>
      <c r="B1" s="24"/>
    </row>
    <row r="2" spans="1:2" x14ac:dyDescent="0.25">
      <c r="A2" s="3"/>
      <c r="B2" s="3"/>
    </row>
    <row r="3" spans="1:2" x14ac:dyDescent="0.25">
      <c r="A3" s="3" t="s">
        <v>1</v>
      </c>
      <c r="B3" s="3" t="s">
        <v>2</v>
      </c>
    </row>
    <row r="4" spans="1:2" x14ac:dyDescent="0.25">
      <c r="A4" s="3" t="s">
        <v>3</v>
      </c>
      <c r="B4" s="3" t="s">
        <v>4</v>
      </c>
    </row>
    <row r="5" spans="1:2" x14ac:dyDescent="0.25">
      <c r="A5" s="3"/>
      <c r="B5" s="3" t="s">
        <v>5</v>
      </c>
    </row>
    <row r="6" spans="1:2" x14ac:dyDescent="0.25">
      <c r="A6" s="3"/>
      <c r="B6" s="3" t="s">
        <v>6</v>
      </c>
    </row>
    <row r="7" spans="1:2" x14ac:dyDescent="0.25">
      <c r="A7" s="3" t="s">
        <v>7</v>
      </c>
      <c r="B7" s="3" t="s">
        <v>8</v>
      </c>
    </row>
    <row r="8" spans="1:2" x14ac:dyDescent="0.25">
      <c r="A8" s="3"/>
      <c r="B8" s="3" t="s">
        <v>9</v>
      </c>
    </row>
    <row r="9" spans="1:2" x14ac:dyDescent="0.25">
      <c r="A9" s="3" t="s">
        <v>10</v>
      </c>
      <c r="B9" s="3" t="s">
        <v>11</v>
      </c>
    </row>
    <row r="10" spans="1:2" x14ac:dyDescent="0.25">
      <c r="A10" s="3"/>
      <c r="B10" s="3" t="s">
        <v>12</v>
      </c>
    </row>
    <row r="11" spans="1:2" x14ac:dyDescent="0.25">
      <c r="A11" s="3"/>
      <c r="B11" s="3" t="s">
        <v>13</v>
      </c>
    </row>
    <row r="12" spans="1:2" x14ac:dyDescent="0.25">
      <c r="A12" s="3"/>
      <c r="B12" s="3" t="s">
        <v>14</v>
      </c>
    </row>
    <row r="13" spans="1:2" x14ac:dyDescent="0.25">
      <c r="A13" s="3" t="s">
        <v>15</v>
      </c>
      <c r="B13" s="3" t="s">
        <v>16</v>
      </c>
    </row>
    <row r="14" spans="1:2" x14ac:dyDescent="0.25">
      <c r="A14" s="3"/>
      <c r="B14" s="3"/>
    </row>
    <row r="15" spans="1:2" x14ac:dyDescent="0.25">
      <c r="A15" s="4" t="s">
        <v>17</v>
      </c>
      <c r="B15" s="5"/>
    </row>
    <row r="16" spans="1:2" x14ac:dyDescent="0.25">
      <c r="A16" s="3" t="s">
        <v>18</v>
      </c>
      <c r="B16" s="3" t="s">
        <v>19</v>
      </c>
    </row>
    <row r="17" spans="1:2" x14ac:dyDescent="0.25">
      <c r="A17" s="3" t="s">
        <v>20</v>
      </c>
      <c r="B17" s="3" t="s">
        <v>21</v>
      </c>
    </row>
    <row r="18" spans="1:2" x14ac:dyDescent="0.25">
      <c r="A18" s="3"/>
      <c r="B18" s="3" t="s">
        <v>22</v>
      </c>
    </row>
    <row r="19" spans="1:2" x14ac:dyDescent="0.25">
      <c r="A19" s="3"/>
      <c r="B19" s="3"/>
    </row>
    <row r="20" spans="1:2" x14ac:dyDescent="0.25">
      <c r="A20" s="4" t="s">
        <v>23</v>
      </c>
      <c r="B20" s="5"/>
    </row>
    <row r="21" spans="1:2" x14ac:dyDescent="0.25">
      <c r="A21" s="3" t="s">
        <v>24</v>
      </c>
      <c r="B21" s="3" t="s">
        <v>25</v>
      </c>
    </row>
    <row r="22" spans="1:2" x14ac:dyDescent="0.25">
      <c r="A22" s="3" t="s">
        <v>26</v>
      </c>
      <c r="B22" s="3" t="s">
        <v>27</v>
      </c>
    </row>
    <row r="23" spans="1:2" x14ac:dyDescent="0.25">
      <c r="A23" s="3" t="s">
        <v>28</v>
      </c>
      <c r="B23" s="3" t="s">
        <v>29</v>
      </c>
    </row>
    <row r="24" spans="1:2" x14ac:dyDescent="0.25">
      <c r="A24" s="3" t="s">
        <v>30</v>
      </c>
      <c r="B24" s="3" t="s">
        <v>31</v>
      </c>
    </row>
    <row r="25" spans="1:2" x14ac:dyDescent="0.25">
      <c r="A25" s="3" t="s">
        <v>32</v>
      </c>
      <c r="B25" s="3" t="s">
        <v>33</v>
      </c>
    </row>
    <row r="26" spans="1:2" x14ac:dyDescent="0.25">
      <c r="A26" s="3" t="s">
        <v>34</v>
      </c>
      <c r="B26" s="3" t="s">
        <v>35</v>
      </c>
    </row>
    <row r="27" spans="1:2" x14ac:dyDescent="0.25">
      <c r="A27" s="3" t="s">
        <v>36</v>
      </c>
      <c r="B27" s="3" t="s">
        <v>37</v>
      </c>
    </row>
    <row r="28" spans="1:2" x14ac:dyDescent="0.25">
      <c r="A28" s="3" t="s">
        <v>38</v>
      </c>
      <c r="B28" s="3" t="s">
        <v>39</v>
      </c>
    </row>
    <row r="29" spans="1:2" x14ac:dyDescent="0.25">
      <c r="A29" s="3" t="s">
        <v>40</v>
      </c>
      <c r="B29" s="3" t="s">
        <v>41</v>
      </c>
    </row>
    <row r="30" spans="1:2" x14ac:dyDescent="0.25">
      <c r="A30" s="3" t="s">
        <v>42</v>
      </c>
      <c r="B30" s="3" t="s">
        <v>43</v>
      </c>
    </row>
    <row r="31" spans="1:2" x14ac:dyDescent="0.25">
      <c r="A31" s="3"/>
      <c r="B31" s="3"/>
    </row>
    <row r="32" spans="1:2" x14ac:dyDescent="0.25">
      <c r="A32" s="4" t="s">
        <v>44</v>
      </c>
      <c r="B32" s="5"/>
    </row>
    <row r="33" spans="1:2" x14ac:dyDescent="0.25">
      <c r="A33" s="3" t="s">
        <v>45</v>
      </c>
      <c r="B33" s="3" t="s">
        <v>46</v>
      </c>
    </row>
    <row r="34" spans="1:2" x14ac:dyDescent="0.25">
      <c r="A34" s="3" t="s">
        <v>47</v>
      </c>
      <c r="B34" s="3" t="s">
        <v>48</v>
      </c>
    </row>
    <row r="35" spans="1:2" x14ac:dyDescent="0.25">
      <c r="A35" s="3"/>
      <c r="B35" s="3" t="s">
        <v>49</v>
      </c>
    </row>
    <row r="36" spans="1:2" x14ac:dyDescent="0.25">
      <c r="A36" s="3" t="s">
        <v>50</v>
      </c>
      <c r="B36" s="3" t="s">
        <v>51</v>
      </c>
    </row>
    <row r="37" spans="1:2" x14ac:dyDescent="0.25">
      <c r="A37" s="3"/>
      <c r="B37" s="3" t="s">
        <v>52</v>
      </c>
    </row>
    <row r="38" spans="1:2" x14ac:dyDescent="0.25">
      <c r="A38" s="3" t="s">
        <v>53</v>
      </c>
      <c r="B38" s="3" t="s">
        <v>54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8" customWidth="1"/>
    <col min="3" max="3" width="13" customWidth="1"/>
    <col min="4" max="4" width="12" customWidth="1"/>
    <col min="5" max="5" width="26" customWidth="1"/>
    <col min="6" max="6" width="13" customWidth="1"/>
    <col min="7" max="7" width="15" customWidth="1"/>
    <col min="8" max="8" width="26" customWidth="1"/>
    <col min="9" max="9" width="12" customWidth="1"/>
    <col min="10" max="10" width="36" customWidth="1"/>
    <col min="11" max="12" width="22" customWidth="1"/>
    <col min="13" max="13" width="14" customWidth="1"/>
  </cols>
  <sheetData>
    <row r="1" spans="1:13" ht="24" customHeight="1" x14ac:dyDescent="0.25">
      <c r="A1" s="6" t="s">
        <v>24</v>
      </c>
      <c r="B1" s="6" t="s">
        <v>26</v>
      </c>
      <c r="C1" s="6" t="s">
        <v>28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34</v>
      </c>
      <c r="J1" s="6" t="s">
        <v>36</v>
      </c>
      <c r="K1" s="6" t="s">
        <v>38</v>
      </c>
      <c r="L1" s="6" t="s">
        <v>40</v>
      </c>
      <c r="M1" s="6" t="s">
        <v>42</v>
      </c>
    </row>
    <row r="2" spans="1:13" x14ac:dyDescent="0.25">
      <c r="A2" s="7" t="s">
        <v>60</v>
      </c>
      <c r="B2" s="7" t="s">
        <v>61</v>
      </c>
      <c r="C2" s="7" t="s">
        <v>62</v>
      </c>
      <c r="D2" s="7" t="s">
        <v>63</v>
      </c>
      <c r="E2" s="8" t="s">
        <v>64</v>
      </c>
      <c r="F2" s="9">
        <f>IF('Grupo A'!D5="","",'Grupo A'!D5)</f>
        <v>1</v>
      </c>
      <c r="G2" s="9">
        <f>IF('Grupo A'!F5="","",'Grupo A'!F5)</f>
        <v>2</v>
      </c>
      <c r="H2" s="8" t="s">
        <v>65</v>
      </c>
      <c r="I2" s="7" t="str">
        <f t="shared" ref="I2:I33" si="0">IF(OR(F2="",G2=""),"",IF(F2&gt;G2,"L",IF(F2&lt;G2,"V","E")))</f>
        <v>V</v>
      </c>
      <c r="J2" s="8" t="s">
        <v>66</v>
      </c>
      <c r="K2" s="8" t="s">
        <v>67</v>
      </c>
      <c r="L2" s="8" t="s">
        <v>68</v>
      </c>
      <c r="M2" s="9" t="b">
        <f t="shared" ref="M2:M33" si="1">AND(ISNUMBER(F2),ISNUMBER(G2))</f>
        <v>1</v>
      </c>
    </row>
    <row r="3" spans="1:13" x14ac:dyDescent="0.25">
      <c r="A3" s="7" t="s">
        <v>69</v>
      </c>
      <c r="B3" s="7" t="s">
        <v>61</v>
      </c>
      <c r="C3" s="7" t="s">
        <v>62</v>
      </c>
      <c r="D3" s="7" t="s">
        <v>70</v>
      </c>
      <c r="E3" s="8" t="s">
        <v>71</v>
      </c>
      <c r="F3" s="9">
        <f>IF('Grupo A'!D6="","",'Grupo A'!D6)</f>
        <v>3</v>
      </c>
      <c r="G3" s="9">
        <f>IF('Grupo A'!F6="","",'Grupo A'!F6)</f>
        <v>4</v>
      </c>
      <c r="H3" s="8" t="s">
        <v>72</v>
      </c>
      <c r="I3" s="7" t="str">
        <f t="shared" si="0"/>
        <v>V</v>
      </c>
      <c r="J3" s="8" t="s">
        <v>73</v>
      </c>
      <c r="K3" s="8" t="s">
        <v>74</v>
      </c>
      <c r="L3" s="8" t="s">
        <v>75</v>
      </c>
      <c r="M3" s="9" t="b">
        <f t="shared" si="1"/>
        <v>1</v>
      </c>
    </row>
    <row r="4" spans="1:13" x14ac:dyDescent="0.25">
      <c r="A4" s="7" t="s">
        <v>76</v>
      </c>
      <c r="B4" s="7" t="s">
        <v>77</v>
      </c>
      <c r="C4" s="7" t="s">
        <v>78</v>
      </c>
      <c r="D4" s="7" t="s">
        <v>63</v>
      </c>
      <c r="E4" s="8" t="s">
        <v>79</v>
      </c>
      <c r="F4" s="9">
        <f>IF('Grupo B'!D5="","",'Grupo B'!D5)</f>
        <v>1</v>
      </c>
      <c r="G4" s="9">
        <f>IF('Grupo B'!F5="","",'Grupo B'!F5)</f>
        <v>2</v>
      </c>
      <c r="H4" s="8" t="s">
        <v>80</v>
      </c>
      <c r="I4" s="7" t="str">
        <f t="shared" si="0"/>
        <v>V</v>
      </c>
      <c r="J4" s="8" t="s">
        <v>81</v>
      </c>
      <c r="K4" s="8" t="s">
        <v>82</v>
      </c>
      <c r="L4" s="8" t="s">
        <v>83</v>
      </c>
      <c r="M4" s="9" t="b">
        <f t="shared" si="1"/>
        <v>1</v>
      </c>
    </row>
    <row r="5" spans="1:13" x14ac:dyDescent="0.25">
      <c r="A5" s="7" t="s">
        <v>84</v>
      </c>
      <c r="B5" s="7" t="s">
        <v>85</v>
      </c>
      <c r="C5" s="7" t="s">
        <v>78</v>
      </c>
      <c r="D5" s="7" t="s">
        <v>86</v>
      </c>
      <c r="E5" s="8" t="s">
        <v>87</v>
      </c>
      <c r="F5" s="9" t="str">
        <f>IF('Grupo D'!D5="","",'Grupo D'!D5)</f>
        <v/>
      </c>
      <c r="G5" s="9" t="str">
        <f>IF('Grupo D'!F5="","",'Grupo D'!F5)</f>
        <v/>
      </c>
      <c r="H5" s="8" t="s">
        <v>88</v>
      </c>
      <c r="I5" s="7" t="str">
        <f t="shared" si="0"/>
        <v/>
      </c>
      <c r="J5" s="8" t="s">
        <v>89</v>
      </c>
      <c r="K5" s="8" t="s">
        <v>90</v>
      </c>
      <c r="L5" s="8" t="s">
        <v>91</v>
      </c>
      <c r="M5" s="9" t="b">
        <f t="shared" si="1"/>
        <v>0</v>
      </c>
    </row>
    <row r="6" spans="1:13" x14ac:dyDescent="0.25">
      <c r="A6" s="7" t="s">
        <v>92</v>
      </c>
      <c r="B6" s="7" t="s">
        <v>77</v>
      </c>
      <c r="C6" s="7" t="s">
        <v>93</v>
      </c>
      <c r="D6" s="7" t="s">
        <v>63</v>
      </c>
      <c r="E6" s="8" t="s">
        <v>94</v>
      </c>
      <c r="F6" s="9">
        <f>IF('Grupo B'!D6="","",'Grupo B'!D6)</f>
        <v>1</v>
      </c>
      <c r="G6" s="9">
        <f>IF('Grupo B'!F6="","",'Grupo B'!F6)</f>
        <v>3</v>
      </c>
      <c r="H6" s="8" t="s">
        <v>95</v>
      </c>
      <c r="I6" s="7" t="str">
        <f t="shared" si="0"/>
        <v>V</v>
      </c>
      <c r="J6" s="8" t="s">
        <v>96</v>
      </c>
      <c r="K6" s="8" t="s">
        <v>97</v>
      </c>
      <c r="L6" s="8" t="s">
        <v>98</v>
      </c>
      <c r="M6" s="9" t="b">
        <f t="shared" si="1"/>
        <v>1</v>
      </c>
    </row>
    <row r="7" spans="1:13" x14ac:dyDescent="0.25">
      <c r="A7" s="7" t="s">
        <v>99</v>
      </c>
      <c r="B7" s="7" t="s">
        <v>100</v>
      </c>
      <c r="C7" s="7" t="s">
        <v>93</v>
      </c>
      <c r="D7" s="7" t="s">
        <v>101</v>
      </c>
      <c r="E7" s="8" t="s">
        <v>102</v>
      </c>
      <c r="F7" s="9" t="str">
        <f>IF('Grupo C'!D5="","",'Grupo C'!D5)</f>
        <v/>
      </c>
      <c r="G7" s="9" t="str">
        <f>IF('Grupo C'!F5="","",'Grupo C'!F5)</f>
        <v/>
      </c>
      <c r="H7" s="8" t="s">
        <v>103</v>
      </c>
      <c r="I7" s="7" t="str">
        <f t="shared" si="0"/>
        <v/>
      </c>
      <c r="J7" s="8" t="s">
        <v>104</v>
      </c>
      <c r="K7" s="8" t="s">
        <v>105</v>
      </c>
      <c r="L7" s="8" t="s">
        <v>106</v>
      </c>
      <c r="M7" s="9" t="b">
        <f t="shared" si="1"/>
        <v>0</v>
      </c>
    </row>
    <row r="8" spans="1:13" x14ac:dyDescent="0.25">
      <c r="A8" s="7" t="s">
        <v>107</v>
      </c>
      <c r="B8" s="7" t="s">
        <v>100</v>
      </c>
      <c r="C8" s="7" t="s">
        <v>93</v>
      </c>
      <c r="D8" s="7" t="s">
        <v>86</v>
      </c>
      <c r="E8" s="8" t="s">
        <v>108</v>
      </c>
      <c r="F8" s="9" t="str">
        <f>IF('Grupo C'!D6="","",'Grupo C'!D6)</f>
        <v/>
      </c>
      <c r="G8" s="9" t="str">
        <f>IF('Grupo C'!F6="","",'Grupo C'!F6)</f>
        <v/>
      </c>
      <c r="H8" s="8" t="s">
        <v>109</v>
      </c>
      <c r="I8" s="7" t="str">
        <f t="shared" si="0"/>
        <v/>
      </c>
      <c r="J8" s="8" t="s">
        <v>110</v>
      </c>
      <c r="K8" s="8" t="s">
        <v>111</v>
      </c>
      <c r="L8" s="8" t="s">
        <v>112</v>
      </c>
      <c r="M8" s="9" t="b">
        <f t="shared" si="1"/>
        <v>0</v>
      </c>
    </row>
    <row r="9" spans="1:13" x14ac:dyDescent="0.25">
      <c r="A9" s="7" t="s">
        <v>113</v>
      </c>
      <c r="B9" s="7" t="s">
        <v>85</v>
      </c>
      <c r="C9" s="7" t="s">
        <v>114</v>
      </c>
      <c r="D9" s="7" t="s">
        <v>115</v>
      </c>
      <c r="E9" s="8" t="s">
        <v>116</v>
      </c>
      <c r="F9" s="9" t="str">
        <f>IF('Grupo D'!D6="","",'Grupo D'!D6)</f>
        <v/>
      </c>
      <c r="G9" s="9" t="str">
        <f>IF('Grupo D'!F6="","",'Grupo D'!F6)</f>
        <v/>
      </c>
      <c r="H9" s="8" t="s">
        <v>117</v>
      </c>
      <c r="I9" s="7" t="str">
        <f t="shared" si="0"/>
        <v/>
      </c>
      <c r="J9" s="8" t="s">
        <v>118</v>
      </c>
      <c r="K9" s="8" t="s">
        <v>119</v>
      </c>
      <c r="L9" s="8" t="s">
        <v>120</v>
      </c>
      <c r="M9" s="9" t="b">
        <f t="shared" si="1"/>
        <v>0</v>
      </c>
    </row>
    <row r="10" spans="1:13" x14ac:dyDescent="0.25">
      <c r="A10" s="7" t="s">
        <v>121</v>
      </c>
      <c r="B10" s="7" t="s">
        <v>122</v>
      </c>
      <c r="C10" s="7" t="s">
        <v>114</v>
      </c>
      <c r="D10" s="7" t="s">
        <v>123</v>
      </c>
      <c r="E10" s="8" t="s">
        <v>124</v>
      </c>
      <c r="F10" s="9" t="str">
        <f>IF('Grupo E'!D5="","",'Grupo E'!D5)</f>
        <v/>
      </c>
      <c r="G10" s="9" t="str">
        <f>IF('Grupo E'!F5="","",'Grupo E'!F5)</f>
        <v/>
      </c>
      <c r="H10" s="8" t="s">
        <v>125</v>
      </c>
      <c r="I10" s="7" t="str">
        <f t="shared" si="0"/>
        <v/>
      </c>
      <c r="J10" s="8" t="s">
        <v>126</v>
      </c>
      <c r="K10" s="8" t="s">
        <v>127</v>
      </c>
      <c r="L10" s="8" t="s">
        <v>128</v>
      </c>
      <c r="M10" s="9" t="b">
        <f t="shared" si="1"/>
        <v>0</v>
      </c>
    </row>
    <row r="11" spans="1:13" x14ac:dyDescent="0.25">
      <c r="A11" s="7" t="s">
        <v>129</v>
      </c>
      <c r="B11" s="7" t="s">
        <v>130</v>
      </c>
      <c r="C11" s="7" t="s">
        <v>114</v>
      </c>
      <c r="D11" s="7" t="s">
        <v>131</v>
      </c>
      <c r="E11" s="8" t="s">
        <v>132</v>
      </c>
      <c r="F11" s="9" t="str">
        <f>IF('Grupo F'!D5="","",'Grupo F'!D5)</f>
        <v/>
      </c>
      <c r="G11" s="9" t="str">
        <f>IF('Grupo F'!F5="","",'Grupo F'!F5)</f>
        <v/>
      </c>
      <c r="H11" s="8" t="s">
        <v>133</v>
      </c>
      <c r="I11" s="7" t="str">
        <f t="shared" si="0"/>
        <v/>
      </c>
      <c r="J11" s="8" t="s">
        <v>134</v>
      </c>
      <c r="K11" s="8" t="s">
        <v>135</v>
      </c>
      <c r="L11" s="8" t="s">
        <v>136</v>
      </c>
      <c r="M11" s="9" t="b">
        <f t="shared" si="1"/>
        <v>0</v>
      </c>
    </row>
    <row r="12" spans="1:13" x14ac:dyDescent="0.25">
      <c r="A12" s="7" t="s">
        <v>137</v>
      </c>
      <c r="B12" s="7" t="s">
        <v>122</v>
      </c>
      <c r="C12" s="7" t="s">
        <v>114</v>
      </c>
      <c r="D12" s="7" t="s">
        <v>138</v>
      </c>
      <c r="E12" s="8" t="s">
        <v>139</v>
      </c>
      <c r="F12" s="9" t="str">
        <f>IF('Grupo E'!D6="","",'Grupo E'!D6)</f>
        <v/>
      </c>
      <c r="G12" s="9" t="str">
        <f>IF('Grupo E'!F6="","",'Grupo E'!F6)</f>
        <v/>
      </c>
      <c r="H12" s="8" t="s">
        <v>140</v>
      </c>
      <c r="I12" s="7" t="str">
        <f t="shared" si="0"/>
        <v/>
      </c>
      <c r="J12" s="8" t="s">
        <v>141</v>
      </c>
      <c r="K12" s="8" t="s">
        <v>142</v>
      </c>
      <c r="L12" s="8" t="s">
        <v>143</v>
      </c>
      <c r="M12" s="9" t="b">
        <f t="shared" si="1"/>
        <v>0</v>
      </c>
    </row>
    <row r="13" spans="1:13" x14ac:dyDescent="0.25">
      <c r="A13" s="7" t="s">
        <v>144</v>
      </c>
      <c r="B13" s="7" t="s">
        <v>130</v>
      </c>
      <c r="C13" s="7" t="s">
        <v>114</v>
      </c>
      <c r="D13" s="7" t="s">
        <v>70</v>
      </c>
      <c r="E13" s="8" t="s">
        <v>145</v>
      </c>
      <c r="F13" s="9" t="str">
        <f>IF('Grupo F'!D6="","",'Grupo F'!D6)</f>
        <v/>
      </c>
      <c r="G13" s="9" t="str">
        <f>IF('Grupo F'!F6="","",'Grupo F'!F6)</f>
        <v/>
      </c>
      <c r="H13" s="8" t="s">
        <v>146</v>
      </c>
      <c r="I13" s="7" t="str">
        <f t="shared" si="0"/>
        <v/>
      </c>
      <c r="J13" s="8" t="s">
        <v>147</v>
      </c>
      <c r="K13" s="8" t="s">
        <v>148</v>
      </c>
      <c r="L13" s="8" t="s">
        <v>149</v>
      </c>
      <c r="M13" s="9" t="b">
        <f t="shared" si="1"/>
        <v>0</v>
      </c>
    </row>
    <row r="14" spans="1:13" x14ac:dyDescent="0.25">
      <c r="A14" s="7" t="s">
        <v>150</v>
      </c>
      <c r="B14" s="7" t="s">
        <v>151</v>
      </c>
      <c r="C14" s="7" t="s">
        <v>152</v>
      </c>
      <c r="D14" s="7" t="s">
        <v>153</v>
      </c>
      <c r="E14" s="8" t="s">
        <v>154</v>
      </c>
      <c r="F14" s="9" t="str">
        <f>IF('Grupo H'!D5="","",'Grupo H'!D5)</f>
        <v/>
      </c>
      <c r="G14" s="9" t="str">
        <f>IF('Grupo H'!F5="","",'Grupo H'!F5)</f>
        <v/>
      </c>
      <c r="H14" s="8" t="s">
        <v>155</v>
      </c>
      <c r="I14" s="7" t="str">
        <f t="shared" si="0"/>
        <v/>
      </c>
      <c r="J14" s="8" t="s">
        <v>156</v>
      </c>
      <c r="K14" s="8" t="s">
        <v>157</v>
      </c>
      <c r="L14" s="8" t="s">
        <v>158</v>
      </c>
      <c r="M14" s="9" t="b">
        <f t="shared" si="1"/>
        <v>0</v>
      </c>
    </row>
    <row r="15" spans="1:13" x14ac:dyDescent="0.25">
      <c r="A15" s="7" t="s">
        <v>159</v>
      </c>
      <c r="B15" s="7" t="s">
        <v>160</v>
      </c>
      <c r="C15" s="7" t="s">
        <v>152</v>
      </c>
      <c r="D15" s="7" t="s">
        <v>63</v>
      </c>
      <c r="E15" s="8" t="s">
        <v>161</v>
      </c>
      <c r="F15" s="9" t="str">
        <f>IF('Grupo G'!D5="","",'Grupo G'!D5)</f>
        <v/>
      </c>
      <c r="G15" s="9" t="str">
        <f>IF('Grupo G'!F5="","",'Grupo G'!F5)</f>
        <v/>
      </c>
      <c r="H15" s="8" t="s">
        <v>162</v>
      </c>
      <c r="I15" s="7" t="str">
        <f t="shared" si="0"/>
        <v/>
      </c>
      <c r="J15" s="8" t="s">
        <v>163</v>
      </c>
      <c r="K15" s="8" t="s">
        <v>164</v>
      </c>
      <c r="L15" s="8" t="s">
        <v>165</v>
      </c>
      <c r="M15" s="9" t="b">
        <f t="shared" si="1"/>
        <v>0</v>
      </c>
    </row>
    <row r="16" spans="1:13" x14ac:dyDescent="0.25">
      <c r="A16" s="7" t="s">
        <v>166</v>
      </c>
      <c r="B16" s="7" t="s">
        <v>151</v>
      </c>
      <c r="C16" s="7" t="s">
        <v>152</v>
      </c>
      <c r="D16" s="7" t="s">
        <v>101</v>
      </c>
      <c r="E16" s="8" t="s">
        <v>167</v>
      </c>
      <c r="F16" s="9" t="str">
        <f>IF('Grupo H'!D6="","",'Grupo H'!D6)</f>
        <v/>
      </c>
      <c r="G16" s="9" t="str">
        <f>IF('Grupo H'!F6="","",'Grupo H'!F6)</f>
        <v/>
      </c>
      <c r="H16" s="8" t="s">
        <v>168</v>
      </c>
      <c r="I16" s="7" t="str">
        <f t="shared" si="0"/>
        <v/>
      </c>
      <c r="J16" s="8" t="s">
        <v>169</v>
      </c>
      <c r="K16" s="8" t="s">
        <v>170</v>
      </c>
      <c r="L16" s="8" t="s">
        <v>171</v>
      </c>
      <c r="M16" s="9" t="b">
        <f t="shared" si="1"/>
        <v>0</v>
      </c>
    </row>
    <row r="17" spans="1:13" x14ac:dyDescent="0.25">
      <c r="A17" s="7" t="s">
        <v>172</v>
      </c>
      <c r="B17" s="7" t="s">
        <v>160</v>
      </c>
      <c r="C17" s="7" t="s">
        <v>152</v>
      </c>
      <c r="D17" s="7" t="s">
        <v>86</v>
      </c>
      <c r="E17" s="8" t="s">
        <v>173</v>
      </c>
      <c r="F17" s="9" t="str">
        <f>IF('Grupo G'!D6="","",'Grupo G'!D6)</f>
        <v/>
      </c>
      <c r="G17" s="9" t="str">
        <f>IF('Grupo G'!F6="","",'Grupo G'!F6)</f>
        <v/>
      </c>
      <c r="H17" s="8" t="s">
        <v>174</v>
      </c>
      <c r="I17" s="7" t="str">
        <f t="shared" si="0"/>
        <v/>
      </c>
      <c r="J17" s="8" t="s">
        <v>89</v>
      </c>
      <c r="K17" s="8" t="s">
        <v>175</v>
      </c>
      <c r="L17" s="8" t="s">
        <v>176</v>
      </c>
      <c r="M17" s="9" t="b">
        <f t="shared" si="1"/>
        <v>0</v>
      </c>
    </row>
    <row r="18" spans="1:13" x14ac:dyDescent="0.25">
      <c r="A18" s="7" t="s">
        <v>177</v>
      </c>
      <c r="B18" s="7" t="s">
        <v>178</v>
      </c>
      <c r="C18" s="7" t="s">
        <v>179</v>
      </c>
      <c r="D18" s="7" t="s">
        <v>63</v>
      </c>
      <c r="E18" s="8" t="s">
        <v>180</v>
      </c>
      <c r="F18" s="9" t="str">
        <f>IF('Grupo I'!D5="","",'Grupo I'!D5)</f>
        <v/>
      </c>
      <c r="G18" s="9" t="str">
        <f>IF('Grupo I'!F5="","",'Grupo I'!F5)</f>
        <v/>
      </c>
      <c r="H18" s="8" t="s">
        <v>181</v>
      </c>
      <c r="I18" s="7" t="str">
        <f t="shared" si="0"/>
        <v/>
      </c>
      <c r="J18" s="8" t="s">
        <v>104</v>
      </c>
      <c r="K18" s="8" t="s">
        <v>182</v>
      </c>
      <c r="L18" s="8" t="s">
        <v>183</v>
      </c>
      <c r="M18" s="9" t="b">
        <f t="shared" si="1"/>
        <v>0</v>
      </c>
    </row>
    <row r="19" spans="1:13" x14ac:dyDescent="0.25">
      <c r="A19" s="7" t="s">
        <v>184</v>
      </c>
      <c r="B19" s="7" t="s">
        <v>178</v>
      </c>
      <c r="C19" s="7" t="s">
        <v>179</v>
      </c>
      <c r="D19" s="7" t="s">
        <v>101</v>
      </c>
      <c r="E19" s="8" t="s">
        <v>185</v>
      </c>
      <c r="F19" s="9" t="str">
        <f>IF('Grupo I'!D6="","",'Grupo I'!D6)</f>
        <v/>
      </c>
      <c r="G19" s="9" t="str">
        <f>IF('Grupo I'!F6="","",'Grupo I'!F6)</f>
        <v/>
      </c>
      <c r="H19" s="8" t="s">
        <v>186</v>
      </c>
      <c r="I19" s="7" t="str">
        <f t="shared" si="0"/>
        <v/>
      </c>
      <c r="J19" s="8" t="s">
        <v>110</v>
      </c>
      <c r="K19" s="8" t="s">
        <v>187</v>
      </c>
      <c r="L19" s="8" t="s">
        <v>188</v>
      </c>
      <c r="M19" s="9" t="b">
        <f t="shared" si="1"/>
        <v>0</v>
      </c>
    </row>
    <row r="20" spans="1:13" x14ac:dyDescent="0.25">
      <c r="A20" s="7" t="s">
        <v>189</v>
      </c>
      <c r="B20" s="7" t="s">
        <v>190</v>
      </c>
      <c r="C20" s="7" t="s">
        <v>179</v>
      </c>
      <c r="D20" s="7" t="s">
        <v>86</v>
      </c>
      <c r="E20" s="8" t="s">
        <v>191</v>
      </c>
      <c r="F20" s="9" t="str">
        <f>IF('Grupo J'!D5="","",'Grupo J'!D5)</f>
        <v/>
      </c>
      <c r="G20" s="9" t="str">
        <f>IF('Grupo J'!F5="","",'Grupo J'!F5)</f>
        <v/>
      </c>
      <c r="H20" s="8" t="s">
        <v>192</v>
      </c>
      <c r="I20" s="7" t="str">
        <f t="shared" si="0"/>
        <v/>
      </c>
      <c r="J20" s="8" t="s">
        <v>193</v>
      </c>
      <c r="K20" s="8" t="s">
        <v>194</v>
      </c>
      <c r="L20" s="8" t="s">
        <v>195</v>
      </c>
      <c r="M20" s="9" t="b">
        <f t="shared" si="1"/>
        <v>0</v>
      </c>
    </row>
    <row r="21" spans="1:13" x14ac:dyDescent="0.25">
      <c r="A21" s="7" t="s">
        <v>196</v>
      </c>
      <c r="B21" s="7" t="s">
        <v>190</v>
      </c>
      <c r="C21" s="7" t="s">
        <v>197</v>
      </c>
      <c r="D21" s="7" t="s">
        <v>115</v>
      </c>
      <c r="E21" s="8" t="s">
        <v>198</v>
      </c>
      <c r="F21" s="9" t="str">
        <f>IF('Grupo J'!D6="","",'Grupo J'!D6)</f>
        <v/>
      </c>
      <c r="G21" s="9" t="str">
        <f>IF('Grupo J'!F6="","",'Grupo J'!F6)</f>
        <v/>
      </c>
      <c r="H21" s="8" t="s">
        <v>199</v>
      </c>
      <c r="I21" s="7" t="str">
        <f t="shared" si="0"/>
        <v/>
      </c>
      <c r="J21" s="8" t="s">
        <v>96</v>
      </c>
      <c r="K21" s="8" t="s">
        <v>200</v>
      </c>
      <c r="L21" s="8" t="s">
        <v>201</v>
      </c>
      <c r="M21" s="9" t="b">
        <f t="shared" si="1"/>
        <v>0</v>
      </c>
    </row>
    <row r="22" spans="1:13" x14ac:dyDescent="0.25">
      <c r="A22" s="7" t="s">
        <v>202</v>
      </c>
      <c r="B22" s="7" t="s">
        <v>203</v>
      </c>
      <c r="C22" s="7" t="s">
        <v>197</v>
      </c>
      <c r="D22" s="7" t="s">
        <v>123</v>
      </c>
      <c r="E22" s="8" t="s">
        <v>204</v>
      </c>
      <c r="F22" s="9" t="str">
        <f>IF('Grupo K'!D5="","",'Grupo K'!D5)</f>
        <v/>
      </c>
      <c r="G22" s="9" t="str">
        <f>IF('Grupo K'!F5="","",'Grupo K'!F5)</f>
        <v/>
      </c>
      <c r="H22" s="8" t="s">
        <v>205</v>
      </c>
      <c r="I22" s="7" t="str">
        <f t="shared" si="0"/>
        <v/>
      </c>
      <c r="J22" s="8" t="s">
        <v>126</v>
      </c>
      <c r="K22" s="8" t="s">
        <v>206</v>
      </c>
      <c r="L22" s="8" t="s">
        <v>207</v>
      </c>
      <c r="M22" s="9" t="b">
        <f t="shared" si="1"/>
        <v>0</v>
      </c>
    </row>
    <row r="23" spans="1:13" x14ac:dyDescent="0.25">
      <c r="A23" s="7" t="s">
        <v>208</v>
      </c>
      <c r="B23" s="7" t="s">
        <v>209</v>
      </c>
      <c r="C23" s="7" t="s">
        <v>197</v>
      </c>
      <c r="D23" s="7" t="s">
        <v>131</v>
      </c>
      <c r="E23" s="8" t="s">
        <v>210</v>
      </c>
      <c r="F23" s="9" t="str">
        <f>IF('Grupo L'!D5="","",'Grupo L'!D5)</f>
        <v/>
      </c>
      <c r="G23" s="9" t="str">
        <f>IF('Grupo L'!F5="","",'Grupo L'!F5)</f>
        <v/>
      </c>
      <c r="H23" s="8" t="s">
        <v>211</v>
      </c>
      <c r="I23" s="7" t="str">
        <f t="shared" si="0"/>
        <v/>
      </c>
      <c r="J23" s="8" t="s">
        <v>134</v>
      </c>
      <c r="K23" s="8" t="s">
        <v>212</v>
      </c>
      <c r="L23" s="8" t="s">
        <v>213</v>
      </c>
      <c r="M23" s="9" t="b">
        <f t="shared" si="1"/>
        <v>0</v>
      </c>
    </row>
    <row r="24" spans="1:13" x14ac:dyDescent="0.25">
      <c r="A24" s="7" t="s">
        <v>214</v>
      </c>
      <c r="B24" s="7" t="s">
        <v>209</v>
      </c>
      <c r="C24" s="7" t="s">
        <v>197</v>
      </c>
      <c r="D24" s="7" t="s">
        <v>138</v>
      </c>
      <c r="E24" s="8" t="s">
        <v>215</v>
      </c>
      <c r="F24" s="9" t="str">
        <f>IF('Grupo L'!D6="","",'Grupo L'!D6)</f>
        <v/>
      </c>
      <c r="G24" s="9" t="str">
        <f>IF('Grupo L'!F6="","",'Grupo L'!F6)</f>
        <v/>
      </c>
      <c r="H24" s="8" t="s">
        <v>216</v>
      </c>
      <c r="I24" s="7" t="str">
        <f t="shared" si="0"/>
        <v/>
      </c>
      <c r="J24" s="8" t="s">
        <v>81</v>
      </c>
      <c r="K24" s="8" t="s">
        <v>217</v>
      </c>
      <c r="L24" s="8" t="s">
        <v>218</v>
      </c>
      <c r="M24" s="9" t="b">
        <f t="shared" si="1"/>
        <v>0</v>
      </c>
    </row>
    <row r="25" spans="1:13" x14ac:dyDescent="0.25">
      <c r="A25" s="7" t="s">
        <v>219</v>
      </c>
      <c r="B25" s="7" t="s">
        <v>203</v>
      </c>
      <c r="C25" s="7" t="s">
        <v>197</v>
      </c>
      <c r="D25" s="7" t="s">
        <v>70</v>
      </c>
      <c r="E25" s="8" t="s">
        <v>220</v>
      </c>
      <c r="F25" s="9" t="str">
        <f>IF('Grupo K'!D6="","",'Grupo K'!D6)</f>
        <v/>
      </c>
      <c r="G25" s="9" t="str">
        <f>IF('Grupo K'!F6="","",'Grupo K'!F6)</f>
        <v/>
      </c>
      <c r="H25" s="8" t="s">
        <v>221</v>
      </c>
      <c r="I25" s="7" t="str">
        <f t="shared" si="0"/>
        <v/>
      </c>
      <c r="J25" s="8" t="s">
        <v>66</v>
      </c>
      <c r="K25" s="8" t="s">
        <v>222</v>
      </c>
      <c r="L25" s="8" t="s">
        <v>223</v>
      </c>
      <c r="M25" s="9" t="b">
        <f t="shared" si="1"/>
        <v>0</v>
      </c>
    </row>
    <row r="26" spans="1:13" x14ac:dyDescent="0.25">
      <c r="A26" s="7" t="s">
        <v>224</v>
      </c>
      <c r="B26" s="7" t="s">
        <v>61</v>
      </c>
      <c r="C26" s="7" t="s">
        <v>225</v>
      </c>
      <c r="D26" s="7" t="s">
        <v>153</v>
      </c>
      <c r="E26" s="8" t="s">
        <v>72</v>
      </c>
      <c r="F26" s="9">
        <f>IF('Grupo A'!D7="","",'Grupo A'!D7)</f>
        <v>2</v>
      </c>
      <c r="G26" s="9">
        <f>IF('Grupo A'!F7="","",'Grupo A'!F7)</f>
        <v>2</v>
      </c>
      <c r="H26" s="8" t="s">
        <v>65</v>
      </c>
      <c r="I26" s="7" t="str">
        <f t="shared" si="0"/>
        <v>E</v>
      </c>
      <c r="J26" s="8" t="s">
        <v>156</v>
      </c>
      <c r="K26" s="8" t="s">
        <v>226</v>
      </c>
      <c r="L26" s="8" t="s">
        <v>227</v>
      </c>
      <c r="M26" s="9" t="b">
        <f t="shared" si="1"/>
        <v>1</v>
      </c>
    </row>
    <row r="27" spans="1:13" x14ac:dyDescent="0.25">
      <c r="A27" s="7" t="s">
        <v>228</v>
      </c>
      <c r="B27" s="7" t="s">
        <v>77</v>
      </c>
      <c r="C27" s="7" t="s">
        <v>225</v>
      </c>
      <c r="D27" s="7" t="s">
        <v>63</v>
      </c>
      <c r="E27" s="8" t="s">
        <v>95</v>
      </c>
      <c r="F27" s="9" t="str">
        <f>IF('Grupo B'!D7="","",'Grupo B'!D7)</f>
        <v/>
      </c>
      <c r="G27" s="9" t="str">
        <f>IF('Grupo B'!F7="","",'Grupo B'!F7)</f>
        <v/>
      </c>
      <c r="H27" s="8" t="s">
        <v>80</v>
      </c>
      <c r="I27" s="7" t="str">
        <f t="shared" si="0"/>
        <v/>
      </c>
      <c r="J27" s="8" t="s">
        <v>89</v>
      </c>
      <c r="K27" s="8" t="s">
        <v>229</v>
      </c>
      <c r="L27" s="8" t="s">
        <v>230</v>
      </c>
      <c r="M27" s="9" t="b">
        <f t="shared" si="1"/>
        <v>0</v>
      </c>
    </row>
    <row r="28" spans="1:13" x14ac:dyDescent="0.25">
      <c r="A28" s="7" t="s">
        <v>231</v>
      </c>
      <c r="B28" s="7" t="s">
        <v>77</v>
      </c>
      <c r="C28" s="7" t="s">
        <v>225</v>
      </c>
      <c r="D28" s="7" t="s">
        <v>101</v>
      </c>
      <c r="E28" s="8" t="s">
        <v>79</v>
      </c>
      <c r="F28" s="9" t="str">
        <f>IF('Grupo B'!D8="","",'Grupo B'!D8)</f>
        <v/>
      </c>
      <c r="G28" s="9" t="str">
        <f>IF('Grupo B'!F8="","",'Grupo B'!F8)</f>
        <v/>
      </c>
      <c r="H28" s="8" t="s">
        <v>94</v>
      </c>
      <c r="I28" s="7" t="str">
        <f t="shared" si="0"/>
        <v/>
      </c>
      <c r="J28" s="8" t="s">
        <v>118</v>
      </c>
      <c r="K28" s="8" t="s">
        <v>232</v>
      </c>
      <c r="L28" s="8" t="s">
        <v>233</v>
      </c>
      <c r="M28" s="9" t="b">
        <f t="shared" si="1"/>
        <v>0</v>
      </c>
    </row>
    <row r="29" spans="1:13" x14ac:dyDescent="0.25">
      <c r="A29" s="7" t="s">
        <v>234</v>
      </c>
      <c r="B29" s="7" t="s">
        <v>61</v>
      </c>
      <c r="C29" s="7" t="s">
        <v>225</v>
      </c>
      <c r="D29" s="7" t="s">
        <v>86</v>
      </c>
      <c r="E29" s="8" t="s">
        <v>64</v>
      </c>
      <c r="F29" s="9">
        <f>IF('Grupo A'!D8="","",'Grupo A'!D8)</f>
        <v>3</v>
      </c>
      <c r="G29" s="9">
        <f>IF('Grupo A'!F8="","",'Grupo A'!F8)</f>
        <v>3</v>
      </c>
      <c r="H29" s="8" t="s">
        <v>71</v>
      </c>
      <c r="I29" s="7" t="str">
        <f t="shared" si="0"/>
        <v>E</v>
      </c>
      <c r="J29" s="8" t="s">
        <v>73</v>
      </c>
      <c r="K29" s="8" t="s">
        <v>235</v>
      </c>
      <c r="L29" s="8" t="s">
        <v>236</v>
      </c>
      <c r="M29" s="9" t="b">
        <f t="shared" si="1"/>
        <v>1</v>
      </c>
    </row>
    <row r="30" spans="1:13" x14ac:dyDescent="0.25">
      <c r="A30" s="7" t="s">
        <v>237</v>
      </c>
      <c r="B30" s="7" t="s">
        <v>85</v>
      </c>
      <c r="C30" s="7" t="s">
        <v>238</v>
      </c>
      <c r="D30" s="7" t="s">
        <v>63</v>
      </c>
      <c r="E30" s="8" t="s">
        <v>87</v>
      </c>
      <c r="F30" s="9" t="str">
        <f>IF('Grupo D'!D7="","",'Grupo D'!D7)</f>
        <v/>
      </c>
      <c r="G30" s="9" t="str">
        <f>IF('Grupo D'!F7="","",'Grupo D'!F7)</f>
        <v/>
      </c>
      <c r="H30" s="8" t="s">
        <v>116</v>
      </c>
      <c r="I30" s="7" t="str">
        <f t="shared" si="0"/>
        <v/>
      </c>
      <c r="J30" s="8" t="s">
        <v>163</v>
      </c>
      <c r="K30" s="8" t="s">
        <v>239</v>
      </c>
      <c r="L30" s="8" t="s">
        <v>240</v>
      </c>
      <c r="M30" s="9" t="b">
        <f t="shared" si="1"/>
        <v>0</v>
      </c>
    </row>
    <row r="31" spans="1:13" x14ac:dyDescent="0.25">
      <c r="A31" s="7" t="s">
        <v>241</v>
      </c>
      <c r="B31" s="7" t="s">
        <v>100</v>
      </c>
      <c r="C31" s="7" t="s">
        <v>238</v>
      </c>
      <c r="D31" s="7" t="s">
        <v>101</v>
      </c>
      <c r="E31" s="8" t="s">
        <v>109</v>
      </c>
      <c r="F31" s="9" t="str">
        <f>IF('Grupo C'!D7="","",'Grupo C'!D7)</f>
        <v/>
      </c>
      <c r="G31" s="9" t="str">
        <f>IF('Grupo C'!F7="","",'Grupo C'!F7)</f>
        <v/>
      </c>
      <c r="H31" s="8" t="s">
        <v>103</v>
      </c>
      <c r="I31" s="7" t="str">
        <f t="shared" si="0"/>
        <v/>
      </c>
      <c r="J31" s="8" t="s">
        <v>110</v>
      </c>
      <c r="K31" s="8" t="s">
        <v>242</v>
      </c>
      <c r="L31" s="8" t="s">
        <v>243</v>
      </c>
      <c r="M31" s="9" t="b">
        <f t="shared" si="1"/>
        <v>0</v>
      </c>
    </row>
    <row r="32" spans="1:13" x14ac:dyDescent="0.25">
      <c r="A32" s="7" t="s">
        <v>244</v>
      </c>
      <c r="B32" s="7" t="s">
        <v>100</v>
      </c>
      <c r="C32" s="7" t="s">
        <v>238</v>
      </c>
      <c r="D32" s="7" t="s">
        <v>245</v>
      </c>
      <c r="E32" s="8" t="s">
        <v>102</v>
      </c>
      <c r="F32" s="9" t="str">
        <f>IF('Grupo C'!D8="","",'Grupo C'!D8)</f>
        <v/>
      </c>
      <c r="G32" s="9" t="str">
        <f>IF('Grupo C'!F8="","",'Grupo C'!F8)</f>
        <v/>
      </c>
      <c r="H32" s="8" t="s">
        <v>108</v>
      </c>
      <c r="I32" s="7" t="str">
        <f t="shared" si="0"/>
        <v/>
      </c>
      <c r="J32" s="8" t="s">
        <v>141</v>
      </c>
      <c r="K32" s="8" t="s">
        <v>246</v>
      </c>
      <c r="L32" s="8" t="s">
        <v>247</v>
      </c>
      <c r="M32" s="9" t="b">
        <f t="shared" si="1"/>
        <v>0</v>
      </c>
    </row>
    <row r="33" spans="1:13" x14ac:dyDescent="0.25">
      <c r="A33" s="7" t="s">
        <v>248</v>
      </c>
      <c r="B33" s="7" t="s">
        <v>85</v>
      </c>
      <c r="C33" s="7" t="s">
        <v>249</v>
      </c>
      <c r="D33" s="7" t="s">
        <v>250</v>
      </c>
      <c r="E33" s="8" t="s">
        <v>117</v>
      </c>
      <c r="F33" s="9" t="str">
        <f>IF('Grupo D'!D8="","",'Grupo D'!D8)</f>
        <v/>
      </c>
      <c r="G33" s="9" t="str">
        <f>IF('Grupo D'!F8="","",'Grupo D'!F8)</f>
        <v/>
      </c>
      <c r="H33" s="8" t="s">
        <v>88</v>
      </c>
      <c r="I33" s="7" t="str">
        <f t="shared" si="0"/>
        <v/>
      </c>
      <c r="J33" s="8" t="s">
        <v>96</v>
      </c>
      <c r="K33" s="8" t="s">
        <v>251</v>
      </c>
      <c r="L33" s="8" t="s">
        <v>252</v>
      </c>
      <c r="M33" s="9" t="b">
        <f t="shared" si="1"/>
        <v>0</v>
      </c>
    </row>
    <row r="34" spans="1:13" x14ac:dyDescent="0.25">
      <c r="A34" s="7" t="s">
        <v>253</v>
      </c>
      <c r="B34" s="7" t="s">
        <v>130</v>
      </c>
      <c r="C34" s="7" t="s">
        <v>249</v>
      </c>
      <c r="D34" s="7" t="s">
        <v>123</v>
      </c>
      <c r="E34" s="8" t="s">
        <v>132</v>
      </c>
      <c r="F34" s="9" t="str">
        <f>IF('Grupo F'!D7="","",'Grupo F'!D7)</f>
        <v/>
      </c>
      <c r="G34" s="9" t="str">
        <f>IF('Grupo F'!F7="","",'Grupo F'!F7)</f>
        <v/>
      </c>
      <c r="H34" s="8" t="s">
        <v>145</v>
      </c>
      <c r="I34" s="7" t="str">
        <f t="shared" ref="I34:I65" si="2">IF(OR(F34="",G34=""),"",IF(F34&gt;G34,"L",IF(F34&lt;G34,"V","E")))</f>
        <v/>
      </c>
      <c r="J34" s="8" t="s">
        <v>126</v>
      </c>
      <c r="K34" s="8" t="s">
        <v>254</v>
      </c>
      <c r="L34" s="8" t="s">
        <v>255</v>
      </c>
      <c r="M34" s="9" t="b">
        <f t="shared" ref="M34:M65" si="3">AND(ISNUMBER(F34),ISNUMBER(G34))</f>
        <v>0</v>
      </c>
    </row>
    <row r="35" spans="1:13" x14ac:dyDescent="0.25">
      <c r="A35" s="7" t="s">
        <v>256</v>
      </c>
      <c r="B35" s="7" t="s">
        <v>122</v>
      </c>
      <c r="C35" s="7" t="s">
        <v>249</v>
      </c>
      <c r="D35" s="7" t="s">
        <v>131</v>
      </c>
      <c r="E35" s="8" t="s">
        <v>124</v>
      </c>
      <c r="F35" s="9" t="str">
        <f>IF('Grupo E'!D7="","",'Grupo E'!D7)</f>
        <v/>
      </c>
      <c r="G35" s="9" t="str">
        <f>IF('Grupo E'!F7="","",'Grupo E'!F7)</f>
        <v/>
      </c>
      <c r="H35" s="8" t="s">
        <v>139</v>
      </c>
      <c r="I35" s="7" t="str">
        <f t="shared" si="2"/>
        <v/>
      </c>
      <c r="J35" s="8" t="s">
        <v>81</v>
      </c>
      <c r="K35" s="8" t="s">
        <v>257</v>
      </c>
      <c r="L35" s="8" t="s">
        <v>258</v>
      </c>
      <c r="M35" s="9" t="b">
        <f t="shared" si="3"/>
        <v>0</v>
      </c>
    </row>
    <row r="36" spans="1:13" x14ac:dyDescent="0.25">
      <c r="A36" s="7" t="s">
        <v>259</v>
      </c>
      <c r="B36" s="7" t="s">
        <v>122</v>
      </c>
      <c r="C36" s="7" t="s">
        <v>249</v>
      </c>
      <c r="D36" s="7" t="s">
        <v>260</v>
      </c>
      <c r="E36" s="8" t="s">
        <v>140</v>
      </c>
      <c r="F36" s="9" t="str">
        <f>IF('Grupo E'!D8="","",'Grupo E'!D8)</f>
        <v/>
      </c>
      <c r="G36" s="9" t="str">
        <f>IF('Grupo E'!F8="","",'Grupo E'!F8)</f>
        <v/>
      </c>
      <c r="H36" s="8" t="s">
        <v>125</v>
      </c>
      <c r="I36" s="7" t="str">
        <f t="shared" si="2"/>
        <v/>
      </c>
      <c r="J36" s="8" t="s">
        <v>193</v>
      </c>
      <c r="K36" s="8" t="s">
        <v>261</v>
      </c>
      <c r="L36" s="8" t="s">
        <v>262</v>
      </c>
      <c r="M36" s="9" t="b">
        <f t="shared" si="3"/>
        <v>0</v>
      </c>
    </row>
    <row r="37" spans="1:13" x14ac:dyDescent="0.25">
      <c r="A37" s="7" t="s">
        <v>263</v>
      </c>
      <c r="B37" s="7" t="s">
        <v>130</v>
      </c>
      <c r="C37" s="7" t="s">
        <v>264</v>
      </c>
      <c r="D37" s="7" t="s">
        <v>115</v>
      </c>
      <c r="E37" s="8" t="s">
        <v>146</v>
      </c>
      <c r="F37" s="9" t="str">
        <f>IF('Grupo F'!D8="","",'Grupo F'!D8)</f>
        <v/>
      </c>
      <c r="G37" s="9" t="str">
        <f>IF('Grupo F'!F8="","",'Grupo F'!F8)</f>
        <v/>
      </c>
      <c r="H37" s="8" t="s">
        <v>133</v>
      </c>
      <c r="I37" s="7" t="str">
        <f t="shared" si="2"/>
        <v/>
      </c>
      <c r="J37" s="8" t="s">
        <v>147</v>
      </c>
      <c r="K37" s="8" t="s">
        <v>265</v>
      </c>
      <c r="L37" s="8" t="s">
        <v>266</v>
      </c>
      <c r="M37" s="9" t="b">
        <f t="shared" si="3"/>
        <v>0</v>
      </c>
    </row>
    <row r="38" spans="1:13" x14ac:dyDescent="0.25">
      <c r="A38" s="7" t="s">
        <v>267</v>
      </c>
      <c r="B38" s="7" t="s">
        <v>151</v>
      </c>
      <c r="C38" s="7" t="s">
        <v>264</v>
      </c>
      <c r="D38" s="7" t="s">
        <v>153</v>
      </c>
      <c r="E38" s="8" t="s">
        <v>154</v>
      </c>
      <c r="F38" s="9" t="str">
        <f>IF('Grupo H'!D7="","",'Grupo H'!D7)</f>
        <v/>
      </c>
      <c r="G38" s="9" t="str">
        <f>IF('Grupo H'!F7="","",'Grupo H'!F7)</f>
        <v/>
      </c>
      <c r="H38" s="8" t="s">
        <v>167</v>
      </c>
      <c r="I38" s="7" t="str">
        <f t="shared" si="2"/>
        <v/>
      </c>
      <c r="J38" s="8" t="s">
        <v>156</v>
      </c>
      <c r="K38" s="8" t="s">
        <v>268</v>
      </c>
      <c r="L38" s="8" t="s">
        <v>269</v>
      </c>
      <c r="M38" s="9" t="b">
        <f t="shared" si="3"/>
        <v>0</v>
      </c>
    </row>
    <row r="39" spans="1:13" x14ac:dyDescent="0.25">
      <c r="A39" s="7" t="s">
        <v>270</v>
      </c>
      <c r="B39" s="7" t="s">
        <v>160</v>
      </c>
      <c r="C39" s="7" t="s">
        <v>264</v>
      </c>
      <c r="D39" s="7" t="s">
        <v>63</v>
      </c>
      <c r="E39" s="8" t="s">
        <v>161</v>
      </c>
      <c r="F39" s="9" t="str">
        <f>IF('Grupo G'!D7="","",'Grupo G'!D7)</f>
        <v/>
      </c>
      <c r="G39" s="9" t="str">
        <f>IF('Grupo G'!F7="","",'Grupo G'!F7)</f>
        <v/>
      </c>
      <c r="H39" s="8" t="s">
        <v>173</v>
      </c>
      <c r="I39" s="7" t="str">
        <f t="shared" si="2"/>
        <v/>
      </c>
      <c r="J39" s="8" t="s">
        <v>89</v>
      </c>
      <c r="K39" s="8" t="s">
        <v>271</v>
      </c>
      <c r="L39" s="8" t="s">
        <v>272</v>
      </c>
      <c r="M39" s="9" t="b">
        <f t="shared" si="3"/>
        <v>0</v>
      </c>
    </row>
    <row r="40" spans="1:13" x14ac:dyDescent="0.25">
      <c r="A40" s="7" t="s">
        <v>273</v>
      </c>
      <c r="B40" s="7" t="s">
        <v>151</v>
      </c>
      <c r="C40" s="7" t="s">
        <v>264</v>
      </c>
      <c r="D40" s="7" t="s">
        <v>101</v>
      </c>
      <c r="E40" s="8" t="s">
        <v>168</v>
      </c>
      <c r="F40" s="9" t="str">
        <f>IF('Grupo H'!D8="","",'Grupo H'!D8)</f>
        <v/>
      </c>
      <c r="G40" s="9" t="str">
        <f>IF('Grupo H'!F8="","",'Grupo H'!F8)</f>
        <v/>
      </c>
      <c r="H40" s="8" t="s">
        <v>155</v>
      </c>
      <c r="I40" s="7" t="str">
        <f t="shared" si="2"/>
        <v/>
      </c>
      <c r="J40" s="8" t="s">
        <v>169</v>
      </c>
      <c r="K40" s="8" t="s">
        <v>274</v>
      </c>
      <c r="L40" s="8" t="s">
        <v>275</v>
      </c>
      <c r="M40" s="9" t="b">
        <f t="shared" si="3"/>
        <v>0</v>
      </c>
    </row>
    <row r="41" spans="1:13" x14ac:dyDescent="0.25">
      <c r="A41" s="7" t="s">
        <v>276</v>
      </c>
      <c r="B41" s="7" t="s">
        <v>160</v>
      </c>
      <c r="C41" s="7" t="s">
        <v>264</v>
      </c>
      <c r="D41" s="7" t="s">
        <v>86</v>
      </c>
      <c r="E41" s="8" t="s">
        <v>174</v>
      </c>
      <c r="F41" s="9" t="str">
        <f>IF('Grupo G'!D8="","",'Grupo G'!D8)</f>
        <v/>
      </c>
      <c r="G41" s="9" t="str">
        <f>IF('Grupo G'!F8="","",'Grupo G'!F8)</f>
        <v/>
      </c>
      <c r="H41" s="8" t="s">
        <v>162</v>
      </c>
      <c r="I41" s="7" t="str">
        <f t="shared" si="2"/>
        <v/>
      </c>
      <c r="J41" s="8" t="s">
        <v>118</v>
      </c>
      <c r="K41" s="8" t="s">
        <v>277</v>
      </c>
      <c r="L41" s="8" t="s">
        <v>278</v>
      </c>
      <c r="M41" s="9" t="b">
        <f t="shared" si="3"/>
        <v>0</v>
      </c>
    </row>
    <row r="42" spans="1:13" x14ac:dyDescent="0.25">
      <c r="A42" s="7" t="s">
        <v>279</v>
      </c>
      <c r="B42" s="7" t="s">
        <v>190</v>
      </c>
      <c r="C42" s="7" t="s">
        <v>280</v>
      </c>
      <c r="D42" s="7" t="s">
        <v>123</v>
      </c>
      <c r="E42" s="8" t="s">
        <v>191</v>
      </c>
      <c r="F42" s="9" t="str">
        <f>IF('Grupo J'!D7="","",'Grupo J'!D7)</f>
        <v/>
      </c>
      <c r="G42" s="9" t="str">
        <f>IF('Grupo J'!F7="","",'Grupo J'!F7)</f>
        <v/>
      </c>
      <c r="H42" s="8" t="s">
        <v>198</v>
      </c>
      <c r="I42" s="7" t="str">
        <f t="shared" si="2"/>
        <v/>
      </c>
      <c r="J42" s="8" t="s">
        <v>134</v>
      </c>
      <c r="K42" s="8" t="s">
        <v>281</v>
      </c>
      <c r="L42" s="8" t="s">
        <v>282</v>
      </c>
      <c r="M42" s="9" t="b">
        <f t="shared" si="3"/>
        <v>0</v>
      </c>
    </row>
    <row r="43" spans="1:13" x14ac:dyDescent="0.25">
      <c r="A43" s="7" t="s">
        <v>283</v>
      </c>
      <c r="B43" s="7" t="s">
        <v>178</v>
      </c>
      <c r="C43" s="7" t="s">
        <v>280</v>
      </c>
      <c r="D43" s="7" t="s">
        <v>284</v>
      </c>
      <c r="E43" s="8" t="s">
        <v>180</v>
      </c>
      <c r="F43" s="9" t="str">
        <f>IF('Grupo I'!D7="","",'Grupo I'!D7)</f>
        <v/>
      </c>
      <c r="G43" s="9" t="str">
        <f>IF('Grupo I'!F7="","",'Grupo I'!F7)</f>
        <v/>
      </c>
      <c r="H43" s="8" t="s">
        <v>185</v>
      </c>
      <c r="I43" s="7" t="str">
        <f t="shared" si="2"/>
        <v/>
      </c>
      <c r="J43" s="8" t="s">
        <v>141</v>
      </c>
      <c r="K43" s="8" t="s">
        <v>285</v>
      </c>
      <c r="L43" s="8" t="s">
        <v>286</v>
      </c>
      <c r="M43" s="9" t="b">
        <f t="shared" si="3"/>
        <v>0</v>
      </c>
    </row>
    <row r="44" spans="1:13" x14ac:dyDescent="0.25">
      <c r="A44" s="7" t="s">
        <v>287</v>
      </c>
      <c r="B44" s="7" t="s">
        <v>178</v>
      </c>
      <c r="C44" s="7" t="s">
        <v>280</v>
      </c>
      <c r="D44" s="7" t="s">
        <v>260</v>
      </c>
      <c r="E44" s="8" t="s">
        <v>186</v>
      </c>
      <c r="F44" s="9" t="str">
        <f>IF('Grupo I'!D8="","",'Grupo I'!D8)</f>
        <v/>
      </c>
      <c r="G44" s="9" t="str">
        <f>IF('Grupo I'!F8="","",'Grupo I'!F8)</f>
        <v/>
      </c>
      <c r="H44" s="8" t="s">
        <v>181</v>
      </c>
      <c r="I44" s="7" t="str">
        <f t="shared" si="2"/>
        <v/>
      </c>
      <c r="J44" s="8" t="s">
        <v>104</v>
      </c>
      <c r="K44" s="8" t="s">
        <v>288</v>
      </c>
      <c r="L44" s="8" t="s">
        <v>289</v>
      </c>
      <c r="M44" s="9" t="b">
        <f t="shared" si="3"/>
        <v>0</v>
      </c>
    </row>
    <row r="45" spans="1:13" x14ac:dyDescent="0.25">
      <c r="A45" s="7" t="s">
        <v>290</v>
      </c>
      <c r="B45" s="7" t="s">
        <v>190</v>
      </c>
      <c r="C45" s="7" t="s">
        <v>291</v>
      </c>
      <c r="D45" s="7" t="s">
        <v>250</v>
      </c>
      <c r="E45" s="8" t="s">
        <v>199</v>
      </c>
      <c r="F45" s="9" t="str">
        <f>IF('Grupo J'!D8="","",'Grupo J'!D8)</f>
        <v/>
      </c>
      <c r="G45" s="9" t="str">
        <f>IF('Grupo J'!F8="","",'Grupo J'!F8)</f>
        <v/>
      </c>
      <c r="H45" s="8" t="s">
        <v>192</v>
      </c>
      <c r="I45" s="7" t="str">
        <f t="shared" si="2"/>
        <v/>
      </c>
      <c r="J45" s="8" t="s">
        <v>96</v>
      </c>
      <c r="K45" s="8" t="s">
        <v>292</v>
      </c>
      <c r="L45" s="8" t="s">
        <v>293</v>
      </c>
      <c r="M45" s="9" t="b">
        <f t="shared" si="3"/>
        <v>0</v>
      </c>
    </row>
    <row r="46" spans="1:13" x14ac:dyDescent="0.25">
      <c r="A46" s="7" t="s">
        <v>294</v>
      </c>
      <c r="B46" s="7" t="s">
        <v>203</v>
      </c>
      <c r="C46" s="7" t="s">
        <v>291</v>
      </c>
      <c r="D46" s="7" t="s">
        <v>123</v>
      </c>
      <c r="E46" s="8" t="s">
        <v>204</v>
      </c>
      <c r="F46" s="9" t="str">
        <f>IF('Grupo K'!D7="","",'Grupo K'!D7)</f>
        <v/>
      </c>
      <c r="G46" s="9" t="str">
        <f>IF('Grupo K'!F7="","",'Grupo K'!F7)</f>
        <v/>
      </c>
      <c r="H46" s="8" t="s">
        <v>220</v>
      </c>
      <c r="I46" s="7" t="str">
        <f t="shared" si="2"/>
        <v/>
      </c>
      <c r="J46" s="8" t="s">
        <v>126</v>
      </c>
      <c r="K46" s="8" t="s">
        <v>295</v>
      </c>
      <c r="L46" s="8" t="s">
        <v>296</v>
      </c>
      <c r="M46" s="9" t="b">
        <f t="shared" si="3"/>
        <v>0</v>
      </c>
    </row>
    <row r="47" spans="1:13" x14ac:dyDescent="0.25">
      <c r="A47" s="7" t="s">
        <v>297</v>
      </c>
      <c r="B47" s="7" t="s">
        <v>209</v>
      </c>
      <c r="C47" s="7" t="s">
        <v>291</v>
      </c>
      <c r="D47" s="7" t="s">
        <v>131</v>
      </c>
      <c r="E47" s="8" t="s">
        <v>210</v>
      </c>
      <c r="F47" s="9" t="str">
        <f>IF('Grupo L'!D7="","",'Grupo L'!D7)</f>
        <v/>
      </c>
      <c r="G47" s="9" t="str">
        <f>IF('Grupo L'!F7="","",'Grupo L'!F7)</f>
        <v/>
      </c>
      <c r="H47" s="8" t="s">
        <v>215</v>
      </c>
      <c r="I47" s="7" t="str">
        <f t="shared" si="2"/>
        <v/>
      </c>
      <c r="J47" s="8" t="s">
        <v>110</v>
      </c>
      <c r="K47" s="8" t="s">
        <v>298</v>
      </c>
      <c r="L47" s="8" t="s">
        <v>299</v>
      </c>
      <c r="M47" s="9" t="b">
        <f t="shared" si="3"/>
        <v>0</v>
      </c>
    </row>
    <row r="48" spans="1:13" x14ac:dyDescent="0.25">
      <c r="A48" s="7" t="s">
        <v>300</v>
      </c>
      <c r="B48" s="7" t="s">
        <v>209</v>
      </c>
      <c r="C48" s="7" t="s">
        <v>291</v>
      </c>
      <c r="D48" s="7" t="s">
        <v>138</v>
      </c>
      <c r="E48" s="8" t="s">
        <v>216</v>
      </c>
      <c r="F48" s="9" t="str">
        <f>IF('Grupo L'!D8="","",'Grupo L'!D8)</f>
        <v/>
      </c>
      <c r="G48" s="9" t="str">
        <f>IF('Grupo L'!F8="","",'Grupo L'!F8)</f>
        <v/>
      </c>
      <c r="H48" s="8" t="s">
        <v>211</v>
      </c>
      <c r="I48" s="7" t="str">
        <f t="shared" si="2"/>
        <v/>
      </c>
      <c r="J48" s="8" t="s">
        <v>81</v>
      </c>
      <c r="K48" s="8" t="s">
        <v>301</v>
      </c>
      <c r="L48" s="8" t="s">
        <v>302</v>
      </c>
      <c r="M48" s="9" t="b">
        <f t="shared" si="3"/>
        <v>0</v>
      </c>
    </row>
    <row r="49" spans="1:13" x14ac:dyDescent="0.25">
      <c r="A49" s="7" t="s">
        <v>303</v>
      </c>
      <c r="B49" s="7" t="s">
        <v>203</v>
      </c>
      <c r="C49" s="7" t="s">
        <v>291</v>
      </c>
      <c r="D49" s="7" t="s">
        <v>70</v>
      </c>
      <c r="E49" s="8" t="s">
        <v>221</v>
      </c>
      <c r="F49" s="9" t="str">
        <f>IF('Grupo K'!D8="","",'Grupo K'!D8)</f>
        <v/>
      </c>
      <c r="G49" s="9" t="str">
        <f>IF('Grupo K'!F8="","",'Grupo K'!F8)</f>
        <v/>
      </c>
      <c r="H49" s="8" t="s">
        <v>205</v>
      </c>
      <c r="I49" s="7" t="str">
        <f t="shared" si="2"/>
        <v/>
      </c>
      <c r="J49" s="8" t="s">
        <v>73</v>
      </c>
      <c r="K49" s="8" t="s">
        <v>304</v>
      </c>
      <c r="L49" s="8" t="s">
        <v>305</v>
      </c>
      <c r="M49" s="9" t="b">
        <f t="shared" si="3"/>
        <v>0</v>
      </c>
    </row>
    <row r="50" spans="1:13" x14ac:dyDescent="0.25">
      <c r="A50" s="7" t="s">
        <v>306</v>
      </c>
      <c r="B50" s="7" t="s">
        <v>77</v>
      </c>
      <c r="C50" s="7" t="s">
        <v>307</v>
      </c>
      <c r="D50" s="7" t="s">
        <v>63</v>
      </c>
      <c r="E50" s="8" t="s">
        <v>95</v>
      </c>
      <c r="F50" s="9" t="str">
        <f>IF('Grupo B'!D9="","",'Grupo B'!D9)</f>
        <v/>
      </c>
      <c r="G50" s="9" t="str">
        <f>IF('Grupo B'!F9="","",'Grupo B'!F9)</f>
        <v/>
      </c>
      <c r="H50" s="8" t="s">
        <v>79</v>
      </c>
      <c r="I50" s="7" t="str">
        <f t="shared" si="2"/>
        <v/>
      </c>
      <c r="J50" s="8" t="s">
        <v>118</v>
      </c>
      <c r="K50" s="8" t="s">
        <v>308</v>
      </c>
      <c r="L50" s="8" t="s">
        <v>309</v>
      </c>
      <c r="M50" s="9" t="b">
        <f t="shared" si="3"/>
        <v>0</v>
      </c>
    </row>
    <row r="51" spans="1:13" x14ac:dyDescent="0.25">
      <c r="A51" s="7" t="s">
        <v>310</v>
      </c>
      <c r="B51" s="7" t="s">
        <v>77</v>
      </c>
      <c r="C51" s="7" t="s">
        <v>307</v>
      </c>
      <c r="D51" s="7" t="s">
        <v>63</v>
      </c>
      <c r="E51" s="8" t="s">
        <v>80</v>
      </c>
      <c r="F51" s="9" t="str">
        <f>IF('Grupo B'!D10="","",'Grupo B'!D10)</f>
        <v/>
      </c>
      <c r="G51" s="9" t="str">
        <f>IF('Grupo B'!F10="","",'Grupo B'!F10)</f>
        <v/>
      </c>
      <c r="H51" s="8" t="s">
        <v>94</v>
      </c>
      <c r="I51" s="7" t="str">
        <f t="shared" si="2"/>
        <v/>
      </c>
      <c r="J51" s="8" t="s">
        <v>163</v>
      </c>
      <c r="K51" s="8" t="s">
        <v>311</v>
      </c>
      <c r="L51" s="8" t="s">
        <v>312</v>
      </c>
      <c r="M51" s="9" t="b">
        <f t="shared" si="3"/>
        <v>0</v>
      </c>
    </row>
    <row r="52" spans="1:13" x14ac:dyDescent="0.25">
      <c r="A52" s="7" t="s">
        <v>313</v>
      </c>
      <c r="B52" s="7" t="s">
        <v>100</v>
      </c>
      <c r="C52" s="7" t="s">
        <v>307</v>
      </c>
      <c r="D52" s="7" t="s">
        <v>101</v>
      </c>
      <c r="E52" s="8" t="s">
        <v>109</v>
      </c>
      <c r="F52" s="9" t="str">
        <f>IF('Grupo C'!D9="","",'Grupo C'!D9)</f>
        <v/>
      </c>
      <c r="G52" s="9" t="str">
        <f>IF('Grupo C'!F9="","",'Grupo C'!F9)</f>
        <v/>
      </c>
      <c r="H52" s="8" t="s">
        <v>102</v>
      </c>
      <c r="I52" s="7" t="str">
        <f t="shared" si="2"/>
        <v/>
      </c>
      <c r="J52" s="8" t="s">
        <v>169</v>
      </c>
      <c r="K52" s="8" t="s">
        <v>314</v>
      </c>
      <c r="L52" s="8" t="s">
        <v>315</v>
      </c>
      <c r="M52" s="9" t="b">
        <f t="shared" si="3"/>
        <v>0</v>
      </c>
    </row>
    <row r="53" spans="1:13" x14ac:dyDescent="0.25">
      <c r="A53" s="7" t="s">
        <v>316</v>
      </c>
      <c r="B53" s="7" t="s">
        <v>100</v>
      </c>
      <c r="C53" s="7" t="s">
        <v>307</v>
      </c>
      <c r="D53" s="7" t="s">
        <v>101</v>
      </c>
      <c r="E53" s="8" t="s">
        <v>103</v>
      </c>
      <c r="F53" s="9" t="str">
        <f>IF('Grupo C'!D10="","",'Grupo C'!D10)</f>
        <v/>
      </c>
      <c r="G53" s="9" t="str">
        <f>IF('Grupo C'!F10="","",'Grupo C'!F10)</f>
        <v/>
      </c>
      <c r="H53" s="8" t="s">
        <v>108</v>
      </c>
      <c r="I53" s="7" t="str">
        <f t="shared" si="2"/>
        <v/>
      </c>
      <c r="J53" s="8" t="s">
        <v>156</v>
      </c>
      <c r="K53" s="8" t="s">
        <v>317</v>
      </c>
      <c r="L53" s="8" t="s">
        <v>318</v>
      </c>
      <c r="M53" s="9" t="b">
        <f t="shared" si="3"/>
        <v>0</v>
      </c>
    </row>
    <row r="54" spans="1:13" x14ac:dyDescent="0.25">
      <c r="A54" s="7" t="s">
        <v>319</v>
      </c>
      <c r="B54" s="7" t="s">
        <v>61</v>
      </c>
      <c r="C54" s="7" t="s">
        <v>307</v>
      </c>
      <c r="D54" s="7" t="s">
        <v>86</v>
      </c>
      <c r="E54" s="8" t="s">
        <v>72</v>
      </c>
      <c r="F54" s="9">
        <f>IF('Grupo A'!D9="","",'Grupo A'!D9)</f>
        <v>1</v>
      </c>
      <c r="G54" s="9">
        <f>IF('Grupo A'!F9="","",'Grupo A'!F9)</f>
        <v>1</v>
      </c>
      <c r="H54" s="8" t="s">
        <v>64</v>
      </c>
      <c r="I54" s="7" t="str">
        <f t="shared" si="2"/>
        <v>E</v>
      </c>
      <c r="J54" s="8" t="s">
        <v>66</v>
      </c>
      <c r="K54" s="8" t="s">
        <v>320</v>
      </c>
      <c r="L54" s="8" t="s">
        <v>321</v>
      </c>
      <c r="M54" s="9" t="b">
        <f t="shared" si="3"/>
        <v>1</v>
      </c>
    </row>
    <row r="55" spans="1:13" x14ac:dyDescent="0.25">
      <c r="A55" s="7" t="s">
        <v>322</v>
      </c>
      <c r="B55" s="7" t="s">
        <v>61</v>
      </c>
      <c r="C55" s="7" t="s">
        <v>307</v>
      </c>
      <c r="D55" s="7" t="s">
        <v>86</v>
      </c>
      <c r="E55" s="8" t="s">
        <v>65</v>
      </c>
      <c r="F55" s="9">
        <f>IF('Grupo A'!D10="","",'Grupo A'!D10)</f>
        <v>1</v>
      </c>
      <c r="G55" s="9">
        <f>IF('Grupo A'!F10="","",'Grupo A'!F10)</f>
        <v>2</v>
      </c>
      <c r="H55" s="8" t="s">
        <v>71</v>
      </c>
      <c r="I55" s="7" t="str">
        <f t="shared" si="2"/>
        <v>V</v>
      </c>
      <c r="J55" s="8" t="s">
        <v>147</v>
      </c>
      <c r="K55" s="8" t="s">
        <v>323</v>
      </c>
      <c r="L55" s="8" t="s">
        <v>324</v>
      </c>
      <c r="M55" s="9" t="b">
        <f t="shared" si="3"/>
        <v>1</v>
      </c>
    </row>
    <row r="56" spans="1:13" x14ac:dyDescent="0.25">
      <c r="A56" s="7" t="s">
        <v>325</v>
      </c>
      <c r="B56" s="7" t="s">
        <v>122</v>
      </c>
      <c r="C56" s="7" t="s">
        <v>326</v>
      </c>
      <c r="D56" s="7" t="s">
        <v>131</v>
      </c>
      <c r="E56" s="8" t="s">
        <v>125</v>
      </c>
      <c r="F56" s="9" t="str">
        <f>IF('Grupo E'!D9="","",'Grupo E'!D9)</f>
        <v/>
      </c>
      <c r="G56" s="9" t="str">
        <f>IF('Grupo E'!F9="","",'Grupo E'!F9)</f>
        <v/>
      </c>
      <c r="H56" s="8" t="s">
        <v>139</v>
      </c>
      <c r="I56" s="7" t="str">
        <f t="shared" si="2"/>
        <v/>
      </c>
      <c r="J56" s="8" t="s">
        <v>141</v>
      </c>
      <c r="K56" s="8" t="s">
        <v>327</v>
      </c>
      <c r="L56" s="8" t="s">
        <v>328</v>
      </c>
      <c r="M56" s="9" t="b">
        <f t="shared" si="3"/>
        <v>0</v>
      </c>
    </row>
    <row r="57" spans="1:13" x14ac:dyDescent="0.25">
      <c r="A57" s="7" t="s">
        <v>329</v>
      </c>
      <c r="B57" s="7" t="s">
        <v>122</v>
      </c>
      <c r="C57" s="7" t="s">
        <v>326</v>
      </c>
      <c r="D57" s="7" t="s">
        <v>131</v>
      </c>
      <c r="E57" s="8" t="s">
        <v>140</v>
      </c>
      <c r="F57" s="9" t="str">
        <f>IF('Grupo E'!D10="","",'Grupo E'!D10)</f>
        <v/>
      </c>
      <c r="G57" s="9" t="str">
        <f>IF('Grupo E'!F10="","",'Grupo E'!F10)</f>
        <v/>
      </c>
      <c r="H57" s="8" t="s">
        <v>124</v>
      </c>
      <c r="I57" s="7" t="str">
        <f t="shared" si="2"/>
        <v/>
      </c>
      <c r="J57" s="8" t="s">
        <v>104</v>
      </c>
      <c r="K57" s="8" t="s">
        <v>330</v>
      </c>
      <c r="L57" s="8" t="s">
        <v>331</v>
      </c>
      <c r="M57" s="9" t="b">
        <f t="shared" si="3"/>
        <v>0</v>
      </c>
    </row>
    <row r="58" spans="1:13" x14ac:dyDescent="0.25">
      <c r="A58" s="7" t="s">
        <v>332</v>
      </c>
      <c r="B58" s="7" t="s">
        <v>130</v>
      </c>
      <c r="C58" s="7" t="s">
        <v>326</v>
      </c>
      <c r="D58" s="7" t="s">
        <v>138</v>
      </c>
      <c r="E58" s="8" t="s">
        <v>133</v>
      </c>
      <c r="F58" s="9" t="str">
        <f>IF('Grupo F'!D9="","",'Grupo F'!D9)</f>
        <v/>
      </c>
      <c r="G58" s="9" t="str">
        <f>IF('Grupo F'!F9="","",'Grupo F'!F9)</f>
        <v/>
      </c>
      <c r="H58" s="8" t="s">
        <v>145</v>
      </c>
      <c r="I58" s="7" t="str">
        <f t="shared" si="2"/>
        <v/>
      </c>
      <c r="J58" s="8" t="s">
        <v>134</v>
      </c>
      <c r="K58" s="8" t="s">
        <v>333</v>
      </c>
      <c r="L58" s="8" t="s">
        <v>334</v>
      </c>
      <c r="M58" s="9" t="b">
        <f t="shared" si="3"/>
        <v>0</v>
      </c>
    </row>
    <row r="59" spans="1:13" x14ac:dyDescent="0.25">
      <c r="A59" s="7" t="s">
        <v>335</v>
      </c>
      <c r="B59" s="7" t="s">
        <v>130</v>
      </c>
      <c r="C59" s="7" t="s">
        <v>326</v>
      </c>
      <c r="D59" s="7" t="s">
        <v>138</v>
      </c>
      <c r="E59" s="8" t="s">
        <v>146</v>
      </c>
      <c r="F59" s="9" t="str">
        <f>IF('Grupo F'!D10="","",'Grupo F'!D10)</f>
        <v/>
      </c>
      <c r="G59" s="9" t="str">
        <f>IF('Grupo F'!F10="","",'Grupo F'!F10)</f>
        <v/>
      </c>
      <c r="H59" s="8" t="s">
        <v>132</v>
      </c>
      <c r="I59" s="7" t="str">
        <f t="shared" si="2"/>
        <v/>
      </c>
      <c r="J59" s="8" t="s">
        <v>193</v>
      </c>
      <c r="K59" s="8" t="s">
        <v>336</v>
      </c>
      <c r="L59" s="8" t="s">
        <v>337</v>
      </c>
      <c r="M59" s="9" t="b">
        <f t="shared" si="3"/>
        <v>0</v>
      </c>
    </row>
    <row r="60" spans="1:13" x14ac:dyDescent="0.25">
      <c r="A60" s="7" t="s">
        <v>338</v>
      </c>
      <c r="B60" s="7" t="s">
        <v>85</v>
      </c>
      <c r="C60" s="7" t="s">
        <v>326</v>
      </c>
      <c r="D60" s="7" t="s">
        <v>70</v>
      </c>
      <c r="E60" s="8" t="s">
        <v>117</v>
      </c>
      <c r="F60" s="9" t="str">
        <f>IF('Grupo D'!D9="","",'Grupo D'!D9)</f>
        <v/>
      </c>
      <c r="G60" s="9" t="str">
        <f>IF('Grupo D'!F9="","",'Grupo D'!F9)</f>
        <v/>
      </c>
      <c r="H60" s="8" t="s">
        <v>87</v>
      </c>
      <c r="I60" s="7" t="str">
        <f t="shared" si="2"/>
        <v/>
      </c>
      <c r="J60" s="8" t="s">
        <v>89</v>
      </c>
      <c r="K60" s="8" t="s">
        <v>339</v>
      </c>
      <c r="L60" s="8" t="s">
        <v>340</v>
      </c>
      <c r="M60" s="9" t="b">
        <f t="shared" si="3"/>
        <v>0</v>
      </c>
    </row>
    <row r="61" spans="1:13" x14ac:dyDescent="0.25">
      <c r="A61" s="7" t="s">
        <v>341</v>
      </c>
      <c r="B61" s="7" t="s">
        <v>85</v>
      </c>
      <c r="C61" s="7" t="s">
        <v>326</v>
      </c>
      <c r="D61" s="7" t="s">
        <v>70</v>
      </c>
      <c r="E61" s="8" t="s">
        <v>88</v>
      </c>
      <c r="F61" s="9" t="str">
        <f>IF('Grupo D'!D10="","",'Grupo D'!D10)</f>
        <v/>
      </c>
      <c r="G61" s="9" t="str">
        <f>IF('Grupo D'!F10="","",'Grupo D'!F10)</f>
        <v/>
      </c>
      <c r="H61" s="8" t="s">
        <v>116</v>
      </c>
      <c r="I61" s="7" t="str">
        <f t="shared" si="2"/>
        <v/>
      </c>
      <c r="J61" s="8" t="s">
        <v>96</v>
      </c>
      <c r="K61" s="8" t="s">
        <v>342</v>
      </c>
      <c r="L61" s="8" t="s">
        <v>343</v>
      </c>
      <c r="M61" s="9" t="b">
        <f t="shared" si="3"/>
        <v>0</v>
      </c>
    </row>
    <row r="62" spans="1:13" x14ac:dyDescent="0.25">
      <c r="A62" s="7" t="s">
        <v>344</v>
      </c>
      <c r="B62" s="7" t="s">
        <v>178</v>
      </c>
      <c r="C62" s="7" t="s">
        <v>345</v>
      </c>
      <c r="D62" s="7" t="s">
        <v>63</v>
      </c>
      <c r="E62" s="8" t="s">
        <v>186</v>
      </c>
      <c r="F62" s="9" t="str">
        <f>IF('Grupo I'!D9="","",'Grupo I'!D9)</f>
        <v/>
      </c>
      <c r="G62" s="9" t="str">
        <f>IF('Grupo I'!F9="","",'Grupo I'!F9)</f>
        <v/>
      </c>
      <c r="H62" s="8" t="s">
        <v>180</v>
      </c>
      <c r="I62" s="7" t="str">
        <f t="shared" si="2"/>
        <v/>
      </c>
      <c r="J62" s="8" t="s">
        <v>110</v>
      </c>
      <c r="K62" s="8" t="s">
        <v>346</v>
      </c>
      <c r="L62" s="8" t="s">
        <v>347</v>
      </c>
      <c r="M62" s="9" t="b">
        <f t="shared" si="3"/>
        <v>0</v>
      </c>
    </row>
    <row r="63" spans="1:13" x14ac:dyDescent="0.25">
      <c r="A63" s="7" t="s">
        <v>348</v>
      </c>
      <c r="B63" s="7" t="s">
        <v>178</v>
      </c>
      <c r="C63" s="7" t="s">
        <v>345</v>
      </c>
      <c r="D63" s="7" t="s">
        <v>63</v>
      </c>
      <c r="E63" s="8" t="s">
        <v>181</v>
      </c>
      <c r="F63" s="9" t="str">
        <f>IF('Grupo I'!D10="","",'Grupo I'!D10)</f>
        <v/>
      </c>
      <c r="G63" s="9" t="str">
        <f>IF('Grupo I'!F10="","",'Grupo I'!F10)</f>
        <v/>
      </c>
      <c r="H63" s="8" t="s">
        <v>185</v>
      </c>
      <c r="I63" s="7" t="str">
        <f t="shared" si="2"/>
        <v/>
      </c>
      <c r="J63" s="8" t="s">
        <v>81</v>
      </c>
      <c r="K63" s="8" t="s">
        <v>349</v>
      </c>
      <c r="L63" s="8" t="s">
        <v>350</v>
      </c>
      <c r="M63" s="9" t="b">
        <f t="shared" si="3"/>
        <v>0</v>
      </c>
    </row>
    <row r="64" spans="1:13" x14ac:dyDescent="0.25">
      <c r="A64" s="7" t="s">
        <v>351</v>
      </c>
      <c r="B64" s="7" t="s">
        <v>151</v>
      </c>
      <c r="C64" s="7" t="s">
        <v>345</v>
      </c>
      <c r="D64" s="7" t="s">
        <v>260</v>
      </c>
      <c r="E64" s="8" t="s">
        <v>155</v>
      </c>
      <c r="F64" s="9" t="str">
        <f>IF('Grupo H'!D9="","",'Grupo H'!D9)</f>
        <v/>
      </c>
      <c r="G64" s="9" t="str">
        <f>IF('Grupo H'!F9="","",'Grupo H'!F9)</f>
        <v/>
      </c>
      <c r="H64" s="8" t="s">
        <v>167</v>
      </c>
      <c r="I64" s="7" t="str">
        <f t="shared" si="2"/>
        <v/>
      </c>
      <c r="J64" s="8" t="s">
        <v>126</v>
      </c>
      <c r="K64" s="8" t="s">
        <v>352</v>
      </c>
      <c r="L64" s="8" t="s">
        <v>353</v>
      </c>
      <c r="M64" s="9" t="b">
        <f t="shared" si="3"/>
        <v>0</v>
      </c>
    </row>
    <row r="65" spans="1:13" x14ac:dyDescent="0.25">
      <c r="A65" s="7" t="s">
        <v>354</v>
      </c>
      <c r="B65" s="7" t="s">
        <v>151</v>
      </c>
      <c r="C65" s="7" t="s">
        <v>345</v>
      </c>
      <c r="D65" s="7" t="s">
        <v>260</v>
      </c>
      <c r="E65" s="8" t="s">
        <v>168</v>
      </c>
      <c r="F65" s="9" t="str">
        <f>IF('Grupo H'!D10="","",'Grupo H'!D10)</f>
        <v/>
      </c>
      <c r="G65" s="9" t="str">
        <f>IF('Grupo H'!F10="","",'Grupo H'!F10)</f>
        <v/>
      </c>
      <c r="H65" s="8" t="s">
        <v>154</v>
      </c>
      <c r="I65" s="7" t="str">
        <f t="shared" si="2"/>
        <v/>
      </c>
      <c r="J65" s="8" t="s">
        <v>73</v>
      </c>
      <c r="K65" s="8" t="s">
        <v>355</v>
      </c>
      <c r="L65" s="8" t="s">
        <v>356</v>
      </c>
      <c r="M65" s="9" t="b">
        <f t="shared" si="3"/>
        <v>0</v>
      </c>
    </row>
    <row r="66" spans="1:13" x14ac:dyDescent="0.25">
      <c r="A66" s="7" t="s">
        <v>357</v>
      </c>
      <c r="B66" s="7" t="s">
        <v>160</v>
      </c>
      <c r="C66" s="7" t="s">
        <v>358</v>
      </c>
      <c r="D66" s="7" t="s">
        <v>250</v>
      </c>
      <c r="E66" s="8" t="s">
        <v>162</v>
      </c>
      <c r="F66" s="9" t="str">
        <f>IF('Grupo G'!D9="","",'Grupo G'!D9)</f>
        <v/>
      </c>
      <c r="G66" s="9" t="str">
        <f>IF('Grupo G'!F9="","",'Grupo G'!F9)</f>
        <v/>
      </c>
      <c r="H66" s="8" t="s">
        <v>173</v>
      </c>
      <c r="I66" s="7" t="str">
        <f t="shared" ref="I66:I73" si="4">IF(OR(F66="",G66=""),"",IF(F66&gt;G66,"L",IF(F66&lt;G66,"V","E")))</f>
        <v/>
      </c>
      <c r="J66" s="8" t="s">
        <v>163</v>
      </c>
      <c r="K66" s="8" t="s">
        <v>359</v>
      </c>
      <c r="L66" s="8" t="s">
        <v>360</v>
      </c>
      <c r="M66" s="9" t="b">
        <f t="shared" ref="M66:M73" si="5">AND(ISNUMBER(F66),ISNUMBER(G66))</f>
        <v>0</v>
      </c>
    </row>
    <row r="67" spans="1:13" x14ac:dyDescent="0.25">
      <c r="A67" s="7" t="s">
        <v>361</v>
      </c>
      <c r="B67" s="7" t="s">
        <v>160</v>
      </c>
      <c r="C67" s="7" t="s">
        <v>358</v>
      </c>
      <c r="D67" s="7" t="s">
        <v>250</v>
      </c>
      <c r="E67" s="8" t="s">
        <v>174</v>
      </c>
      <c r="F67" s="9" t="str">
        <f>IF('Grupo G'!D10="","",'Grupo G'!D10)</f>
        <v/>
      </c>
      <c r="G67" s="9" t="str">
        <f>IF('Grupo G'!F10="","",'Grupo G'!F10)</f>
        <v/>
      </c>
      <c r="H67" s="8" t="s">
        <v>161</v>
      </c>
      <c r="I67" s="7" t="str">
        <f t="shared" si="4"/>
        <v/>
      </c>
      <c r="J67" s="8" t="s">
        <v>118</v>
      </c>
      <c r="K67" s="8" t="s">
        <v>362</v>
      </c>
      <c r="L67" s="8" t="s">
        <v>363</v>
      </c>
      <c r="M67" s="9" t="b">
        <f t="shared" si="5"/>
        <v>0</v>
      </c>
    </row>
    <row r="68" spans="1:13" x14ac:dyDescent="0.25">
      <c r="A68" s="7" t="s">
        <v>364</v>
      </c>
      <c r="B68" s="7" t="s">
        <v>209</v>
      </c>
      <c r="C68" s="7" t="s">
        <v>358</v>
      </c>
      <c r="D68" s="7" t="s">
        <v>284</v>
      </c>
      <c r="E68" s="8" t="s">
        <v>216</v>
      </c>
      <c r="F68" s="9" t="str">
        <f>IF('Grupo L'!D9="","",'Grupo L'!D9)</f>
        <v/>
      </c>
      <c r="G68" s="9" t="str">
        <f>IF('Grupo L'!F9="","",'Grupo L'!F9)</f>
        <v/>
      </c>
      <c r="H68" s="8" t="s">
        <v>210</v>
      </c>
      <c r="I68" s="7" t="str">
        <f t="shared" si="4"/>
        <v/>
      </c>
      <c r="J68" s="8" t="s">
        <v>104</v>
      </c>
      <c r="K68" s="8" t="s">
        <v>365</v>
      </c>
      <c r="L68" s="8" t="s">
        <v>366</v>
      </c>
      <c r="M68" s="9" t="b">
        <f t="shared" si="5"/>
        <v>0</v>
      </c>
    </row>
    <row r="69" spans="1:13" x14ac:dyDescent="0.25">
      <c r="A69" s="7" t="s">
        <v>367</v>
      </c>
      <c r="B69" s="7" t="s">
        <v>209</v>
      </c>
      <c r="C69" s="7" t="s">
        <v>358</v>
      </c>
      <c r="D69" s="7" t="s">
        <v>284</v>
      </c>
      <c r="E69" s="8" t="s">
        <v>211</v>
      </c>
      <c r="F69" s="9" t="str">
        <f>IF('Grupo L'!D10="","",'Grupo L'!D10)</f>
        <v/>
      </c>
      <c r="G69" s="9" t="str">
        <f>IF('Grupo L'!F10="","",'Grupo L'!F10)</f>
        <v/>
      </c>
      <c r="H69" s="8" t="s">
        <v>215</v>
      </c>
      <c r="I69" s="7" t="str">
        <f t="shared" si="4"/>
        <v/>
      </c>
      <c r="J69" s="8" t="s">
        <v>141</v>
      </c>
      <c r="K69" s="8" t="s">
        <v>368</v>
      </c>
      <c r="L69" s="8" t="s">
        <v>369</v>
      </c>
      <c r="M69" s="9" t="b">
        <f t="shared" si="5"/>
        <v>0</v>
      </c>
    </row>
    <row r="70" spans="1:13" x14ac:dyDescent="0.25">
      <c r="A70" s="7" t="s">
        <v>370</v>
      </c>
      <c r="B70" s="7" t="s">
        <v>203</v>
      </c>
      <c r="C70" s="7" t="s">
        <v>358</v>
      </c>
      <c r="D70" s="7" t="s">
        <v>371</v>
      </c>
      <c r="E70" s="8" t="s">
        <v>221</v>
      </c>
      <c r="F70" s="9" t="str">
        <f>IF('Grupo K'!D9="","",'Grupo K'!D9)</f>
        <v/>
      </c>
      <c r="G70" s="9" t="str">
        <f>IF('Grupo K'!F9="","",'Grupo K'!F9)</f>
        <v/>
      </c>
      <c r="H70" s="8" t="s">
        <v>204</v>
      </c>
      <c r="I70" s="7" t="str">
        <f t="shared" si="4"/>
        <v/>
      </c>
      <c r="J70" s="8" t="s">
        <v>169</v>
      </c>
      <c r="K70" s="8" t="s">
        <v>372</v>
      </c>
      <c r="L70" s="8" t="s">
        <v>373</v>
      </c>
      <c r="M70" s="9" t="b">
        <f t="shared" si="5"/>
        <v>0</v>
      </c>
    </row>
    <row r="71" spans="1:13" x14ac:dyDescent="0.25">
      <c r="A71" s="7" t="s">
        <v>374</v>
      </c>
      <c r="B71" s="7" t="s">
        <v>203</v>
      </c>
      <c r="C71" s="7" t="s">
        <v>358</v>
      </c>
      <c r="D71" s="7" t="s">
        <v>371</v>
      </c>
      <c r="E71" s="8" t="s">
        <v>205</v>
      </c>
      <c r="F71" s="9" t="str">
        <f>IF('Grupo K'!D10="","",'Grupo K'!D10)</f>
        <v/>
      </c>
      <c r="G71" s="9" t="str">
        <f>IF('Grupo K'!F10="","",'Grupo K'!F10)</f>
        <v/>
      </c>
      <c r="H71" s="8" t="s">
        <v>220</v>
      </c>
      <c r="I71" s="7" t="str">
        <f t="shared" si="4"/>
        <v/>
      </c>
      <c r="J71" s="8" t="s">
        <v>156</v>
      </c>
      <c r="K71" s="8" t="s">
        <v>375</v>
      </c>
      <c r="L71" s="8" t="s">
        <v>376</v>
      </c>
      <c r="M71" s="9" t="b">
        <f t="shared" si="5"/>
        <v>0</v>
      </c>
    </row>
    <row r="72" spans="1:13" x14ac:dyDescent="0.25">
      <c r="A72" s="7" t="s">
        <v>377</v>
      </c>
      <c r="B72" s="7" t="s">
        <v>190</v>
      </c>
      <c r="C72" s="7" t="s">
        <v>358</v>
      </c>
      <c r="D72" s="7" t="s">
        <v>70</v>
      </c>
      <c r="E72" s="8" t="s">
        <v>199</v>
      </c>
      <c r="F72" s="9" t="str">
        <f>IF('Grupo J'!D9="","",'Grupo J'!D9)</f>
        <v/>
      </c>
      <c r="G72" s="9" t="str">
        <f>IF('Grupo J'!F9="","",'Grupo J'!F9)</f>
        <v/>
      </c>
      <c r="H72" s="8" t="s">
        <v>191</v>
      </c>
      <c r="I72" s="7" t="str">
        <f t="shared" si="4"/>
        <v/>
      </c>
      <c r="J72" s="8" t="s">
        <v>134</v>
      </c>
      <c r="K72" s="8" t="s">
        <v>378</v>
      </c>
      <c r="L72" s="8" t="s">
        <v>379</v>
      </c>
      <c r="M72" s="9" t="b">
        <f t="shared" si="5"/>
        <v>0</v>
      </c>
    </row>
    <row r="73" spans="1:13" x14ac:dyDescent="0.25">
      <c r="A73" s="7" t="s">
        <v>380</v>
      </c>
      <c r="B73" s="7" t="s">
        <v>190</v>
      </c>
      <c r="C73" s="7" t="s">
        <v>358</v>
      </c>
      <c r="D73" s="7" t="s">
        <v>70</v>
      </c>
      <c r="E73" s="8" t="s">
        <v>192</v>
      </c>
      <c r="F73" s="9" t="str">
        <f>IF('Grupo J'!D10="","",'Grupo J'!D10)</f>
        <v/>
      </c>
      <c r="G73" s="9" t="str">
        <f>IF('Grupo J'!F10="","",'Grupo J'!F10)</f>
        <v/>
      </c>
      <c r="H73" s="8" t="s">
        <v>198</v>
      </c>
      <c r="I73" s="7" t="str">
        <f t="shared" si="4"/>
        <v/>
      </c>
      <c r="J73" s="8" t="s">
        <v>193</v>
      </c>
      <c r="K73" s="8" t="s">
        <v>381</v>
      </c>
      <c r="L73" s="8" t="s">
        <v>382</v>
      </c>
      <c r="M73" s="9" t="b">
        <f t="shared" si="5"/>
        <v>0</v>
      </c>
    </row>
  </sheetData>
  <conditionalFormatting sqref="M2:M73">
    <cfRule type="cellIs" dxfId="2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zoomScaleNormal="100" workbookViewId="0">
      <selection activeCell="G27" sqref="G27"/>
    </sheetView>
  </sheetViews>
  <sheetFormatPr baseColWidth="10" defaultColWidth="8.7109375" defaultRowHeight="15" x14ac:dyDescent="0.25"/>
  <cols>
    <col min="1" max="1" width="13" customWidth="1"/>
    <col min="2" max="2" width="21.42578125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383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62</v>
      </c>
      <c r="B5" s="7" t="s">
        <v>63</v>
      </c>
      <c r="C5" s="10" t="s">
        <v>64</v>
      </c>
      <c r="D5" s="11">
        <v>1</v>
      </c>
      <c r="E5" s="7" t="s">
        <v>386</v>
      </c>
      <c r="F5" s="11">
        <v>2</v>
      </c>
      <c r="G5" s="8" t="s">
        <v>65</v>
      </c>
      <c r="H5" s="7" t="str">
        <f t="shared" ref="H5:H10" si="0">IF(OR(D5="",F5=""),"",IF(D5&gt;F5,"L",IF(D5&lt;F5,"V","E")))</f>
        <v>V</v>
      </c>
      <c r="I5" s="8" t="s">
        <v>66</v>
      </c>
    </row>
    <row r="6" spans="1:11" x14ac:dyDescent="0.25">
      <c r="A6" s="12" t="s">
        <v>62</v>
      </c>
      <c r="B6" s="12" t="s">
        <v>70</v>
      </c>
      <c r="C6" s="13" t="s">
        <v>71</v>
      </c>
      <c r="D6" s="11">
        <v>3</v>
      </c>
      <c r="E6" s="12" t="s">
        <v>386</v>
      </c>
      <c r="F6" s="11">
        <v>4</v>
      </c>
      <c r="G6" s="14" t="s">
        <v>72</v>
      </c>
      <c r="H6" s="12" t="str">
        <f t="shared" si="0"/>
        <v>V</v>
      </c>
      <c r="I6" s="14" t="s">
        <v>73</v>
      </c>
    </row>
    <row r="7" spans="1:11" x14ac:dyDescent="0.25">
      <c r="A7" s="7" t="s">
        <v>225</v>
      </c>
      <c r="B7" s="7" t="s">
        <v>153</v>
      </c>
      <c r="C7" s="10" t="s">
        <v>72</v>
      </c>
      <c r="D7" s="11">
        <v>2</v>
      </c>
      <c r="E7" s="7" t="s">
        <v>386</v>
      </c>
      <c r="F7" s="11">
        <v>2</v>
      </c>
      <c r="G7" s="8" t="s">
        <v>65</v>
      </c>
      <c r="H7" s="7" t="str">
        <f t="shared" si="0"/>
        <v>E</v>
      </c>
      <c r="I7" s="8" t="s">
        <v>156</v>
      </c>
    </row>
    <row r="8" spans="1:11" x14ac:dyDescent="0.25">
      <c r="A8" s="12" t="s">
        <v>225</v>
      </c>
      <c r="B8" s="12" t="s">
        <v>86</v>
      </c>
      <c r="C8" s="13" t="s">
        <v>64</v>
      </c>
      <c r="D8" s="11">
        <v>3</v>
      </c>
      <c r="E8" s="12" t="s">
        <v>386</v>
      </c>
      <c r="F8" s="11">
        <v>3</v>
      </c>
      <c r="G8" s="14" t="s">
        <v>71</v>
      </c>
      <c r="H8" s="12" t="str">
        <f t="shared" si="0"/>
        <v>E</v>
      </c>
      <c r="I8" s="14" t="s">
        <v>73</v>
      </c>
    </row>
    <row r="9" spans="1:11" x14ac:dyDescent="0.25">
      <c r="A9" s="7" t="s">
        <v>307</v>
      </c>
      <c r="B9" s="7" t="s">
        <v>86</v>
      </c>
      <c r="C9" s="10" t="s">
        <v>72</v>
      </c>
      <c r="D9" s="11">
        <v>1</v>
      </c>
      <c r="E9" s="7" t="s">
        <v>386</v>
      </c>
      <c r="F9" s="11">
        <v>1</v>
      </c>
      <c r="G9" s="8" t="s">
        <v>64</v>
      </c>
      <c r="H9" s="7" t="str">
        <f t="shared" si="0"/>
        <v>E</v>
      </c>
      <c r="I9" s="8" t="s">
        <v>66</v>
      </c>
    </row>
    <row r="10" spans="1:11" x14ac:dyDescent="0.25">
      <c r="A10" s="12" t="s">
        <v>307</v>
      </c>
      <c r="B10" s="12" t="s">
        <v>86</v>
      </c>
      <c r="C10" s="13" t="s">
        <v>65</v>
      </c>
      <c r="D10" s="11">
        <v>1</v>
      </c>
      <c r="E10" s="12" t="s">
        <v>386</v>
      </c>
      <c r="F10" s="11">
        <v>2</v>
      </c>
      <c r="G10" s="14" t="s">
        <v>71</v>
      </c>
      <c r="H10" s="12" t="str">
        <f t="shared" si="0"/>
        <v>V</v>
      </c>
      <c r="I10" s="14" t="s">
        <v>147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64</v>
      </c>
      <c r="B13" s="7">
        <f>SUMPRODUCT((($C$5:$C$10="Mexico")+($G$5:$G$10="Mexico"))*($D$5:$D$10&lt;&gt;"")*($F$5:$F$10&lt;&gt;""))</f>
        <v>3</v>
      </c>
      <c r="C13" s="7">
        <f>SUMPRODUCT(($D$5:$D$10&lt;&gt;"")*($F$5:$F$10&lt;&gt;"")*((($C$5:$C$10="Mexico")*(($D$5:$D$10)&gt;($F$5:$F$10)))+(($G$5:$G$10="Mexico")*(($F$5:$F$10)&gt;($D$5:$D$10)))))</f>
        <v>0</v>
      </c>
      <c r="D13" s="7">
        <f>SUMPRODUCT(($D$5:$D$10&lt;&gt;"")*($F$5:$F$10&lt;&gt;"")*(($C$5:$C$10="Mexico")+($G$5:$G$10="Mexico"))*(($D$5:$D$10)=($F$5:$F$10)))</f>
        <v>2</v>
      </c>
      <c r="E13" s="7">
        <f>SUMPRODUCT(($D$5:$D$10&lt;&gt;"")*($F$5:$F$10&lt;&gt;"")*((($C$5:$C$10="Mexico")*(($D$5:$D$10)&lt;($F$5:$F$10)))+(($G$5:$G$10="Mexico")*(($F$5:$F$10)&lt;($D$5:$D$10)))))</f>
        <v>1</v>
      </c>
      <c r="F13" s="7">
        <f>SUMPRODUCT(($D$5:$D$10&lt;&gt;"")*($F$5:$F$10&lt;&gt;"")*((($C$5:$C$10="Mexico")*($D$5:$D$10))+(($G$5:$G$10="Mexico")*($F$5:$F$10))))</f>
        <v>5</v>
      </c>
      <c r="G13" s="7">
        <f>SUMPRODUCT(($D$5:$D$10&lt;&gt;"")*($F$5:$F$10&lt;&gt;"")*((($C$5:$C$10="Mexico")*($F$5:$F$10))+(($G$5:$G$10="Mexico")*($D$5:$D$10))))</f>
        <v>6</v>
      </c>
      <c r="H13" s="7">
        <f>F13-G13</f>
        <v>-1</v>
      </c>
      <c r="I13" s="7">
        <f>C13*3+D13</f>
        <v>2</v>
      </c>
      <c r="K13" s="1">
        <f>I13*1000000000+H13*1000000+F13*1000+(4)</f>
        <v>1999005004</v>
      </c>
    </row>
    <row r="14" spans="1:11" x14ac:dyDescent="0.25">
      <c r="A14" s="8" t="s">
        <v>65</v>
      </c>
      <c r="B14" s="7">
        <f>SUMPRODUCT((($C$5:$C$10="Sudafrica")+($G$5:$G$10="Sudafrica"))*($D$5:$D$10&lt;&gt;"")*($F$5:$F$10&lt;&gt;""))</f>
        <v>3</v>
      </c>
      <c r="C14" s="7">
        <f>SUMPRODUCT(($D$5:$D$10&lt;&gt;"")*($F$5:$F$10&lt;&gt;"")*((($C$5:$C$10="Sudafrica")*(($D$5:$D$10)&gt;($F$5:$F$10)))+(($G$5:$G$10="Sudafrica")*(($F$5:$F$10)&gt;($D$5:$D$10)))))</f>
        <v>1</v>
      </c>
      <c r="D14" s="7">
        <f>SUMPRODUCT(($D$5:$D$10&lt;&gt;"")*($F$5:$F$10&lt;&gt;"")*(($C$5:$C$10="Sudafrica")+($G$5:$G$10="Sudafrica"))*(($D$5:$D$10)=($F$5:$F$10)))</f>
        <v>1</v>
      </c>
      <c r="E14" s="7">
        <f>SUMPRODUCT(($D$5:$D$10&lt;&gt;"")*($F$5:$F$10&lt;&gt;"")*((($C$5:$C$10="Sudafrica")*(($D$5:$D$10)&lt;($F$5:$F$10)))+(($G$5:$G$10="Sudafrica")*(($F$5:$F$10)&lt;($D$5:$D$10)))))</f>
        <v>1</v>
      </c>
      <c r="F14" s="7">
        <f>SUMPRODUCT(($D$5:$D$10&lt;&gt;"")*($F$5:$F$10&lt;&gt;"")*((($C$5:$C$10="Sudafrica")*($D$5:$D$10))+(($G$5:$G$10="Sudafrica")*($F$5:$F$10))))</f>
        <v>5</v>
      </c>
      <c r="G14" s="7">
        <f>SUMPRODUCT(($D$5:$D$10&lt;&gt;"")*($F$5:$F$10&lt;&gt;"")*((($C$5:$C$10="Sudafrica")*($F$5:$F$10))+(($G$5:$G$10="Sudafrica")*($D$5:$D$10))))</f>
        <v>5</v>
      </c>
      <c r="H14" s="7">
        <f>F14-G14</f>
        <v>0</v>
      </c>
      <c r="I14" s="7">
        <f>C14*3+D14</f>
        <v>4</v>
      </c>
      <c r="K14" s="1">
        <f>I14*1000000000+H14*1000000+F14*1000+(3)</f>
        <v>4000005003</v>
      </c>
    </row>
    <row r="15" spans="1:11" x14ac:dyDescent="0.25">
      <c r="A15" s="8" t="s">
        <v>71</v>
      </c>
      <c r="B15" s="7">
        <f>SUMPRODUCT((($C$5:$C$10="Corea del Sur")+($G$5:$G$10="Corea del Sur"))*($D$5:$D$10&lt;&gt;"")*($F$5:$F$10&lt;&gt;""))</f>
        <v>3</v>
      </c>
      <c r="C15" s="7">
        <f>SUMPRODUCT(($D$5:$D$10&lt;&gt;"")*($F$5:$F$10&lt;&gt;"")*((($C$5:$C$10="Corea del Sur")*(($D$5:$D$10)&gt;($F$5:$F$10)))+(($G$5:$G$10="Corea del Sur")*(($F$5:$F$10)&gt;($D$5:$D$10)))))</f>
        <v>1</v>
      </c>
      <c r="D15" s="7">
        <f>SUMPRODUCT(($D$5:$D$10&lt;&gt;"")*($F$5:$F$10&lt;&gt;"")*(($C$5:$C$10="Corea del Sur")+($G$5:$G$10="Corea del Sur"))*(($D$5:$D$10)=($F$5:$F$10)))</f>
        <v>1</v>
      </c>
      <c r="E15" s="7">
        <f>SUMPRODUCT(($D$5:$D$10&lt;&gt;"")*($F$5:$F$10&lt;&gt;"")*((($C$5:$C$10="Corea del Sur")*(($D$5:$D$10)&lt;($F$5:$F$10)))+(($G$5:$G$10="Corea del Sur")*(($F$5:$F$10)&lt;($D$5:$D$10)))))</f>
        <v>1</v>
      </c>
      <c r="F15" s="7">
        <f>SUMPRODUCT(($D$5:$D$10&lt;&gt;"")*($F$5:$F$10&lt;&gt;"")*((($C$5:$C$10="Corea del Sur")*($D$5:$D$10))+(($G$5:$G$10="Corea del Sur")*($F$5:$F$10))))</f>
        <v>8</v>
      </c>
      <c r="G15" s="7">
        <f>SUMPRODUCT(($D$5:$D$10&lt;&gt;"")*($F$5:$F$10&lt;&gt;"")*((($C$5:$C$10="Corea del Sur")*($F$5:$F$10))+(($G$5:$G$10="Corea del Sur")*($D$5:$D$10))))</f>
        <v>8</v>
      </c>
      <c r="H15" s="7">
        <f>F15-G15</f>
        <v>0</v>
      </c>
      <c r="I15" s="7">
        <f>C15*3+D15</f>
        <v>4</v>
      </c>
      <c r="K15" s="1">
        <f>I15*1000000000+H15*1000000+F15*1000+(2)</f>
        <v>4000008002</v>
      </c>
    </row>
    <row r="16" spans="1:11" x14ac:dyDescent="0.25">
      <c r="A16" s="8" t="s">
        <v>72</v>
      </c>
      <c r="B16" s="7">
        <f>SUMPRODUCT((($C$5:$C$10="Chequia")+($G$5:$G$10="Chequia"))*($D$5:$D$10&lt;&gt;"")*($F$5:$F$10&lt;&gt;""))</f>
        <v>3</v>
      </c>
      <c r="C16" s="7">
        <f>SUMPRODUCT(($D$5:$D$10&lt;&gt;"")*($F$5:$F$10&lt;&gt;"")*((($C$5:$C$10="Chequia")*(($D$5:$D$10)&gt;($F$5:$F$10)))+(($G$5:$G$10="Chequia")*(($F$5:$F$10)&gt;($D$5:$D$10)))))</f>
        <v>1</v>
      </c>
      <c r="D16" s="7">
        <f>SUMPRODUCT(($D$5:$D$10&lt;&gt;"")*($F$5:$F$10&lt;&gt;"")*(($C$5:$C$10="Chequia")+($G$5:$G$10="Chequia"))*(($D$5:$D$10)=($F$5:$F$10)))</f>
        <v>2</v>
      </c>
      <c r="E16" s="7">
        <f>SUMPRODUCT(($D$5:$D$10&lt;&gt;"")*($F$5:$F$10&lt;&gt;"")*((($C$5:$C$10="Chequia")*(($D$5:$D$10)&lt;($F$5:$F$10)))+(($G$5:$G$10="Chequia")*(($F$5:$F$10)&lt;($D$5:$D$10)))))</f>
        <v>0</v>
      </c>
      <c r="F16" s="7">
        <f>SUMPRODUCT(($D$5:$D$10&lt;&gt;"")*($F$5:$F$10&lt;&gt;"")*((($C$5:$C$10="Chequia")*($D$5:$D$10))+(($G$5:$G$10="Chequia")*($F$5:$F$10))))</f>
        <v>7</v>
      </c>
      <c r="G16" s="7">
        <f>SUMPRODUCT(($D$5:$D$10&lt;&gt;"")*($F$5:$F$10&lt;&gt;"")*((($C$5:$C$10="Chequia")*($F$5:$F$10))+(($G$5:$G$10="Chequia")*($D$5:$D$10))))</f>
        <v>6</v>
      </c>
      <c r="H16" s="7">
        <f>F16-G16</f>
        <v>1</v>
      </c>
      <c r="I16" s="7">
        <f>C16*3+D16</f>
        <v>5</v>
      </c>
      <c r="K16" s="1">
        <f>I16*1000000000+H16*1000000+F16*1000+(1)</f>
        <v>5001007001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Chequia</v>
      </c>
      <c r="C19" s="15">
        <f>INDEX($B$13:$I$16,MATCH(LARGE($K$13:$K$16,1),$K$13:$K$16,0),1)</f>
        <v>3</v>
      </c>
      <c r="D19" s="15">
        <f>INDEX($B$13:$I$16,MATCH(LARGE($K$13:$K$16,1),$K$13:$K$16,0),2)</f>
        <v>1</v>
      </c>
      <c r="E19" s="15">
        <f>INDEX($B$13:$I$16,MATCH(LARGE($K$13:$K$16,1),$K$13:$K$16,0),3)</f>
        <v>2</v>
      </c>
      <c r="F19" s="15">
        <f>INDEX($B$13:$I$16,MATCH(LARGE($K$13:$K$16,1),$K$13:$K$16,0),4)</f>
        <v>0</v>
      </c>
      <c r="G19" s="15">
        <f>INDEX($B$13:$I$16,MATCH(LARGE($K$13:$K$16,1),$K$13:$K$16,0),5)</f>
        <v>7</v>
      </c>
      <c r="H19" s="15">
        <f>INDEX($B$13:$I$16,MATCH(LARGE($K$13:$K$16,1),$K$13:$K$16,0),6)</f>
        <v>6</v>
      </c>
      <c r="I19" s="15">
        <f>INDEX($B$13:$I$16,MATCH(LARGE($K$13:$K$16,1),$K$13:$K$16,0),7)</f>
        <v>1</v>
      </c>
      <c r="J19" s="15">
        <f>INDEX($B$13:$I$16,MATCH(LARGE($K$13:$K$16,1),$K$13:$K$16,0),8)</f>
        <v>5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Corea del Sur</v>
      </c>
      <c r="C20" s="15">
        <f>INDEX($B$13:$I$16,MATCH(LARGE($K$13:$K$16,2),$K$13:$K$16,0),1)</f>
        <v>3</v>
      </c>
      <c r="D20" s="15">
        <f>INDEX($B$13:$I$16,MATCH(LARGE($K$13:$K$16,2),$K$13:$K$16,0),2)</f>
        <v>1</v>
      </c>
      <c r="E20" s="15">
        <f>INDEX($B$13:$I$16,MATCH(LARGE($K$13:$K$16,2),$K$13:$K$16,0),3)</f>
        <v>1</v>
      </c>
      <c r="F20" s="15">
        <f>INDEX($B$13:$I$16,MATCH(LARGE($K$13:$K$16,2),$K$13:$K$16,0),4)</f>
        <v>1</v>
      </c>
      <c r="G20" s="15">
        <f>INDEX($B$13:$I$16,MATCH(LARGE($K$13:$K$16,2),$K$13:$K$16,0),5)</f>
        <v>8</v>
      </c>
      <c r="H20" s="15">
        <f>INDEX($B$13:$I$16,MATCH(LARGE($K$13:$K$16,2),$K$13:$K$16,0),6)</f>
        <v>8</v>
      </c>
      <c r="I20" s="15">
        <f>INDEX($B$13:$I$16,MATCH(LARGE($K$13:$K$16,2),$K$13:$K$16,0),7)</f>
        <v>0</v>
      </c>
      <c r="J20" s="15">
        <f>INDEX($B$13:$I$16,MATCH(LARGE($K$13:$K$16,2),$K$13:$K$16,0),8)</f>
        <v>4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Sudafrica</v>
      </c>
      <c r="C21" s="11">
        <f>INDEX($B$13:$I$16,MATCH(LARGE($K$13:$K$16,3),$K$13:$K$16,0),1)</f>
        <v>3</v>
      </c>
      <c r="D21" s="11">
        <f>INDEX($B$13:$I$16,MATCH(LARGE($K$13:$K$16,3),$K$13:$K$16,0),2)</f>
        <v>1</v>
      </c>
      <c r="E21" s="11">
        <f>INDEX($B$13:$I$16,MATCH(LARGE($K$13:$K$16,3),$K$13:$K$16,0),3)</f>
        <v>1</v>
      </c>
      <c r="F21" s="11">
        <f>INDEX($B$13:$I$16,MATCH(LARGE($K$13:$K$16,3),$K$13:$K$16,0),4)</f>
        <v>1</v>
      </c>
      <c r="G21" s="11">
        <f>INDEX($B$13:$I$16,MATCH(LARGE($K$13:$K$16,3),$K$13:$K$16,0),5)</f>
        <v>5</v>
      </c>
      <c r="H21" s="11">
        <f>INDEX($B$13:$I$16,MATCH(LARGE($K$13:$K$16,3),$K$13:$K$16,0),6)</f>
        <v>5</v>
      </c>
      <c r="I21" s="11">
        <f>INDEX($B$13:$I$16,MATCH(LARGE($K$13:$K$16,3),$K$13:$K$16,0),7)</f>
        <v>0</v>
      </c>
      <c r="J21" s="11">
        <f>INDEX($B$13:$I$16,MATCH(LARGE($K$13:$K$16,3),$K$13:$K$16,0),8)</f>
        <v>4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Mexico</v>
      </c>
      <c r="C22" s="18">
        <f>INDEX($B$13:$I$16,MATCH(LARGE($K$13:$K$16,4),$K$13:$K$16,0),1)</f>
        <v>3</v>
      </c>
      <c r="D22" s="18">
        <f>INDEX($B$13:$I$16,MATCH(LARGE($K$13:$K$16,4),$K$13:$K$16,0),2)</f>
        <v>0</v>
      </c>
      <c r="E22" s="18">
        <f>INDEX($B$13:$I$16,MATCH(LARGE($K$13:$K$16,4),$K$13:$K$16,0),3)</f>
        <v>2</v>
      </c>
      <c r="F22" s="18">
        <f>INDEX($B$13:$I$16,MATCH(LARGE($K$13:$K$16,4),$K$13:$K$16,0),4)</f>
        <v>1</v>
      </c>
      <c r="G22" s="18">
        <f>INDEX($B$13:$I$16,MATCH(LARGE($K$13:$K$16,4),$K$13:$K$16,0),5)</f>
        <v>5</v>
      </c>
      <c r="H22" s="18">
        <f>INDEX($B$13:$I$16,MATCH(LARGE($K$13:$K$16,4),$K$13:$K$16,0),6)</f>
        <v>6</v>
      </c>
      <c r="I22" s="18">
        <f>INDEX($B$13:$I$16,MATCH(LARGE($K$13:$K$16,4),$K$13:$K$16,0),7)</f>
        <v>-1</v>
      </c>
      <c r="J22" s="18">
        <f>INDEX($B$13:$I$16,MATCH(LARGE($K$13:$K$16,4),$K$13:$K$16,0),8)</f>
        <v>2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showGridLines="0" tabSelected="1" zoomScaleNormal="100" workbookViewId="0">
      <selection activeCell="F30" sqref="F30"/>
    </sheetView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401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78</v>
      </c>
      <c r="B5" s="7" t="s">
        <v>63</v>
      </c>
      <c r="C5" s="10" t="s">
        <v>79</v>
      </c>
      <c r="D5" s="11">
        <v>1</v>
      </c>
      <c r="E5" s="7" t="s">
        <v>386</v>
      </c>
      <c r="F5" s="11">
        <v>2</v>
      </c>
      <c r="G5" s="8" t="s">
        <v>80</v>
      </c>
      <c r="H5" s="7" t="str">
        <f t="shared" ref="H5:H10" si="0">IF(OR(D5="",F5=""),"",IF(D5&gt;F5,"L",IF(D5&lt;F5,"V","E")))</f>
        <v>V</v>
      </c>
      <c r="I5" s="8" t="s">
        <v>81</v>
      </c>
    </row>
    <row r="6" spans="1:11" x14ac:dyDescent="0.25">
      <c r="A6" s="12" t="s">
        <v>93</v>
      </c>
      <c r="B6" s="12" t="s">
        <v>63</v>
      </c>
      <c r="C6" s="13" t="s">
        <v>94</v>
      </c>
      <c r="D6" s="11">
        <v>1</v>
      </c>
      <c r="E6" s="12" t="s">
        <v>386</v>
      </c>
      <c r="F6" s="11">
        <v>3</v>
      </c>
      <c r="G6" s="14" t="s">
        <v>95</v>
      </c>
      <c r="H6" s="12" t="str">
        <f t="shared" si="0"/>
        <v>V</v>
      </c>
      <c r="I6" s="14" t="s">
        <v>96</v>
      </c>
    </row>
    <row r="7" spans="1:11" x14ac:dyDescent="0.25">
      <c r="A7" s="7" t="s">
        <v>225</v>
      </c>
      <c r="B7" s="7" t="s">
        <v>63</v>
      </c>
      <c r="C7" s="10" t="s">
        <v>95</v>
      </c>
      <c r="D7" s="11"/>
      <c r="E7" s="7" t="s">
        <v>386</v>
      </c>
      <c r="F7" s="11"/>
      <c r="G7" s="8" t="s">
        <v>80</v>
      </c>
      <c r="H7" s="7" t="str">
        <f t="shared" si="0"/>
        <v/>
      </c>
      <c r="I7" s="8" t="s">
        <v>89</v>
      </c>
    </row>
    <row r="8" spans="1:11" x14ac:dyDescent="0.25">
      <c r="A8" s="12" t="s">
        <v>225</v>
      </c>
      <c r="B8" s="12" t="s">
        <v>101</v>
      </c>
      <c r="C8" s="13" t="s">
        <v>79</v>
      </c>
      <c r="D8" s="11"/>
      <c r="E8" s="12" t="s">
        <v>386</v>
      </c>
      <c r="F8" s="11"/>
      <c r="G8" s="14" t="s">
        <v>94</v>
      </c>
      <c r="H8" s="12" t="str">
        <f t="shared" si="0"/>
        <v/>
      </c>
      <c r="I8" s="14" t="s">
        <v>118</v>
      </c>
    </row>
    <row r="9" spans="1:11" x14ac:dyDescent="0.25">
      <c r="A9" s="7" t="s">
        <v>307</v>
      </c>
      <c r="B9" s="7" t="s">
        <v>63</v>
      </c>
      <c r="C9" s="10" t="s">
        <v>95</v>
      </c>
      <c r="D9" s="11"/>
      <c r="E9" s="7" t="s">
        <v>386</v>
      </c>
      <c r="F9" s="11"/>
      <c r="G9" s="8" t="s">
        <v>79</v>
      </c>
      <c r="H9" s="7" t="str">
        <f t="shared" si="0"/>
        <v/>
      </c>
      <c r="I9" s="8" t="s">
        <v>118</v>
      </c>
    </row>
    <row r="10" spans="1:11" x14ac:dyDescent="0.25">
      <c r="A10" s="12" t="s">
        <v>307</v>
      </c>
      <c r="B10" s="12" t="s">
        <v>63</v>
      </c>
      <c r="C10" s="13" t="s">
        <v>80</v>
      </c>
      <c r="D10" s="11"/>
      <c r="E10" s="12" t="s">
        <v>386</v>
      </c>
      <c r="F10" s="11"/>
      <c r="G10" s="14" t="s">
        <v>94</v>
      </c>
      <c r="H10" s="12" t="str">
        <f t="shared" si="0"/>
        <v/>
      </c>
      <c r="I10" s="14" t="s">
        <v>163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79</v>
      </c>
      <c r="B13" s="7">
        <f>SUMPRODUCT((($C$5:$C$10="Canada")+($G$5:$G$10="Canada"))*($D$5:$D$10&lt;&gt;"")*($F$5:$F$10&lt;&gt;""))</f>
        <v>1</v>
      </c>
      <c r="C13" s="7">
        <f>SUMPRODUCT(($D$5:$D$10&lt;&gt;"")*($F$5:$F$10&lt;&gt;"")*((($C$5:$C$10="Canada")*(($D$5:$D$10)&gt;($F$5:$F$10)))+(($G$5:$G$10="Canada")*(($F$5:$F$10)&gt;($D$5:$D$10)))))</f>
        <v>0</v>
      </c>
      <c r="D13" s="7">
        <f>SUMPRODUCT(($D$5:$D$10&lt;&gt;"")*($F$5:$F$10&lt;&gt;"")*(($C$5:$C$10="Canada")+($G$5:$G$10="Canada"))*(($D$5:$D$10)=($F$5:$F$10)))</f>
        <v>0</v>
      </c>
      <c r="E13" s="7">
        <f>SUMPRODUCT(($D$5:$D$10&lt;&gt;"")*($F$5:$F$10&lt;&gt;"")*((($C$5:$C$10="Canada")*(($D$5:$D$10)&lt;($F$5:$F$10)))+(($G$5:$G$10="Canada")*(($F$5:$F$10)&lt;($D$5:$D$10)))))</f>
        <v>1</v>
      </c>
      <c r="F13" s="7">
        <f>SUMPRODUCT(($D$5:$D$10&lt;&gt;"")*($F$5:$F$10&lt;&gt;"")*((($C$5:$C$10="Canada")*($D$5:$D$10))+(($G$5:$G$10="Canada")*($F$5:$F$10))))</f>
        <v>1</v>
      </c>
      <c r="G13" s="7">
        <f>SUMPRODUCT(($D$5:$D$10&lt;&gt;"")*($F$5:$F$10&lt;&gt;"")*((($C$5:$C$10="Canada")*($F$5:$F$10))+(($G$5:$G$10="Canada")*($D$5:$D$10))))</f>
        <v>2</v>
      </c>
      <c r="H13" s="7">
        <f>F13-G13</f>
        <v>-1</v>
      </c>
      <c r="I13" s="7">
        <f>C13*3+D13</f>
        <v>0</v>
      </c>
      <c r="K13" s="1">
        <f>I13*1000000000+H13*1000000+F13*1000+(4)</f>
        <v>-998996</v>
      </c>
    </row>
    <row r="14" spans="1:11" x14ac:dyDescent="0.25">
      <c r="A14" s="8" t="s">
        <v>80</v>
      </c>
      <c r="B14" s="7">
        <f>SUMPRODUCT((($C$5:$C$10="Bosnia y Herzegovina")+($G$5:$G$10="Bosnia y Herzegovina"))*($D$5:$D$10&lt;&gt;"")*($F$5:$F$10&lt;&gt;""))</f>
        <v>1</v>
      </c>
      <c r="C14" s="7">
        <f>SUMPRODUCT(($D$5:$D$10&lt;&gt;"")*($F$5:$F$10&lt;&gt;"")*((($C$5:$C$10="Bosnia y Herzegovina")*(($D$5:$D$10)&gt;($F$5:$F$10)))+(($G$5:$G$10="Bosnia y Herzegovina")*(($F$5:$F$10)&gt;($D$5:$D$10)))))</f>
        <v>1</v>
      </c>
      <c r="D14" s="7">
        <f>SUMPRODUCT(($D$5:$D$10&lt;&gt;"")*($F$5:$F$10&lt;&gt;"")*(($C$5:$C$10="Bosnia y Herzegovina")+($G$5:$G$10="Bosnia y Herzegovina"))*(($D$5:$D$10)=($F$5:$F$10)))</f>
        <v>0</v>
      </c>
      <c r="E14" s="7">
        <f>SUMPRODUCT(($D$5:$D$10&lt;&gt;"")*($F$5:$F$10&lt;&gt;"")*((($C$5:$C$10="Bosnia y Herzegovina")*(($D$5:$D$10)&lt;($F$5:$F$10)))+(($G$5:$G$10="Bosnia y Herzegovina")*(($F$5:$F$10)&lt;($D$5:$D$10)))))</f>
        <v>0</v>
      </c>
      <c r="F14" s="7">
        <f>SUMPRODUCT(($D$5:$D$10&lt;&gt;"")*($F$5:$F$10&lt;&gt;"")*((($C$5:$C$10="Bosnia y Herzegovina")*($D$5:$D$10))+(($G$5:$G$10="Bosnia y Herzegovina")*($F$5:$F$10))))</f>
        <v>2</v>
      </c>
      <c r="G14" s="7">
        <f>SUMPRODUCT(($D$5:$D$10&lt;&gt;"")*($F$5:$F$10&lt;&gt;"")*((($C$5:$C$10="Bosnia y Herzegovina")*($F$5:$F$10))+(($G$5:$G$10="Bosnia y Herzegovina")*($D$5:$D$10))))</f>
        <v>1</v>
      </c>
      <c r="H14" s="7">
        <f>F14-G14</f>
        <v>1</v>
      </c>
      <c r="I14" s="7">
        <f>C14*3+D14</f>
        <v>3</v>
      </c>
      <c r="K14" s="1">
        <f>I14*1000000000+H14*1000000+F14*1000+(3)</f>
        <v>3001002003</v>
      </c>
    </row>
    <row r="15" spans="1:11" x14ac:dyDescent="0.25">
      <c r="A15" s="8" t="s">
        <v>94</v>
      </c>
      <c r="B15" s="7">
        <f>SUMPRODUCT((($C$5:$C$10="Qatar")+($G$5:$G$10="Qatar"))*($D$5:$D$10&lt;&gt;"")*($F$5:$F$10&lt;&gt;""))</f>
        <v>1</v>
      </c>
      <c r="C15" s="7">
        <f>SUMPRODUCT(($D$5:$D$10&lt;&gt;"")*($F$5:$F$10&lt;&gt;"")*((($C$5:$C$10="Qatar")*(($D$5:$D$10)&gt;($F$5:$F$10)))+(($G$5:$G$10="Qatar")*(($F$5:$F$10)&gt;($D$5:$D$10)))))</f>
        <v>0</v>
      </c>
      <c r="D15" s="7">
        <f>SUMPRODUCT(($D$5:$D$10&lt;&gt;"")*($F$5:$F$10&lt;&gt;"")*(($C$5:$C$10="Qatar")+($G$5:$G$10="Qatar"))*(($D$5:$D$10)=($F$5:$F$10)))</f>
        <v>0</v>
      </c>
      <c r="E15" s="7">
        <f>SUMPRODUCT(($D$5:$D$10&lt;&gt;"")*($F$5:$F$10&lt;&gt;"")*((($C$5:$C$10="Qatar")*(($D$5:$D$10)&lt;($F$5:$F$10)))+(($G$5:$G$10="Qatar")*(($F$5:$F$10)&lt;($D$5:$D$10)))))</f>
        <v>1</v>
      </c>
      <c r="F15" s="7">
        <f>SUMPRODUCT(($D$5:$D$10&lt;&gt;"")*($F$5:$F$10&lt;&gt;"")*((($C$5:$C$10="Qatar")*($D$5:$D$10))+(($G$5:$G$10="Qatar")*($F$5:$F$10))))</f>
        <v>1</v>
      </c>
      <c r="G15" s="7">
        <f>SUMPRODUCT(($D$5:$D$10&lt;&gt;"")*($F$5:$F$10&lt;&gt;"")*((($C$5:$C$10="Qatar")*($F$5:$F$10))+(($G$5:$G$10="Qatar")*($D$5:$D$10))))</f>
        <v>3</v>
      </c>
      <c r="H15" s="7">
        <f>F15-G15</f>
        <v>-2</v>
      </c>
      <c r="I15" s="7">
        <f>C15*3+D15</f>
        <v>0</v>
      </c>
      <c r="K15" s="1">
        <f>I15*1000000000+H15*1000000+F15*1000+(2)</f>
        <v>-1998998</v>
      </c>
    </row>
    <row r="16" spans="1:11" x14ac:dyDescent="0.25">
      <c r="A16" s="8" t="s">
        <v>95</v>
      </c>
      <c r="B16" s="7">
        <f>SUMPRODUCT((($C$5:$C$10="Suiza")+($G$5:$G$10="Suiza"))*($D$5:$D$10&lt;&gt;"")*($F$5:$F$10&lt;&gt;""))</f>
        <v>1</v>
      </c>
      <c r="C16" s="7">
        <f>SUMPRODUCT(($D$5:$D$10&lt;&gt;"")*($F$5:$F$10&lt;&gt;"")*((($C$5:$C$10="Suiza")*(($D$5:$D$10)&gt;($F$5:$F$10)))+(($G$5:$G$10="Suiza")*(($F$5:$F$10)&gt;($D$5:$D$10)))))</f>
        <v>1</v>
      </c>
      <c r="D16" s="7">
        <f>SUMPRODUCT(($D$5:$D$10&lt;&gt;"")*($F$5:$F$10&lt;&gt;"")*(($C$5:$C$10="Suiza")+($G$5:$G$10="Suiza"))*(($D$5:$D$10)=($F$5:$F$10)))</f>
        <v>0</v>
      </c>
      <c r="E16" s="7">
        <f>SUMPRODUCT(($D$5:$D$10&lt;&gt;"")*($F$5:$F$10&lt;&gt;"")*((($C$5:$C$10="Suiza")*(($D$5:$D$10)&lt;($F$5:$F$10)))+(($G$5:$G$10="Suiza")*(($F$5:$F$10)&lt;($D$5:$D$10)))))</f>
        <v>0</v>
      </c>
      <c r="F16" s="7">
        <f>SUMPRODUCT(($D$5:$D$10&lt;&gt;"")*($F$5:$F$10&lt;&gt;"")*((($C$5:$C$10="Suiza")*($D$5:$D$10))+(($G$5:$G$10="Suiza")*($F$5:$F$10))))</f>
        <v>3</v>
      </c>
      <c r="G16" s="7">
        <f>SUMPRODUCT(($D$5:$D$10&lt;&gt;"")*($F$5:$F$10&lt;&gt;"")*((($C$5:$C$10="Suiza")*($F$5:$F$10))+(($G$5:$G$10="Suiza")*($D$5:$D$10))))</f>
        <v>1</v>
      </c>
      <c r="H16" s="7">
        <f>F16-G16</f>
        <v>2</v>
      </c>
      <c r="I16" s="7">
        <f>C16*3+D16</f>
        <v>3</v>
      </c>
      <c r="K16" s="1">
        <f>I16*1000000000+H16*1000000+F16*1000+(1)</f>
        <v>3002003001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Suiza</v>
      </c>
      <c r="C19" s="15">
        <f>INDEX($B$13:$I$16,MATCH(LARGE($K$13:$K$16,1),$K$13:$K$16,0),1)</f>
        <v>1</v>
      </c>
      <c r="D19" s="15">
        <f>INDEX($B$13:$I$16,MATCH(LARGE($K$13:$K$16,1),$K$13:$K$16,0),2)</f>
        <v>1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3</v>
      </c>
      <c r="H19" s="15">
        <f>INDEX($B$13:$I$16,MATCH(LARGE($K$13:$K$16,1),$K$13:$K$16,0),6)</f>
        <v>1</v>
      </c>
      <c r="I19" s="15">
        <f>INDEX($B$13:$I$16,MATCH(LARGE($K$13:$K$16,1),$K$13:$K$16,0),7)</f>
        <v>2</v>
      </c>
      <c r="J19" s="15">
        <f>INDEX($B$13:$I$16,MATCH(LARGE($K$13:$K$16,1),$K$13:$K$16,0),8)</f>
        <v>3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Bosnia y Herzegovina</v>
      </c>
      <c r="C20" s="15">
        <f>INDEX($B$13:$I$16,MATCH(LARGE($K$13:$K$16,2),$K$13:$K$16,0),1)</f>
        <v>1</v>
      </c>
      <c r="D20" s="15">
        <f>INDEX($B$13:$I$16,MATCH(LARGE($K$13:$K$16,2),$K$13:$K$16,0),2)</f>
        <v>1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2</v>
      </c>
      <c r="H20" s="15">
        <f>INDEX($B$13:$I$16,MATCH(LARGE($K$13:$K$16,2),$K$13:$K$16,0),6)</f>
        <v>1</v>
      </c>
      <c r="I20" s="15">
        <f>INDEX($B$13:$I$16,MATCH(LARGE($K$13:$K$16,2),$K$13:$K$16,0),7)</f>
        <v>1</v>
      </c>
      <c r="J20" s="15">
        <f>INDEX($B$13:$I$16,MATCH(LARGE($K$13:$K$16,2),$K$13:$K$16,0),8)</f>
        <v>3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Canada</v>
      </c>
      <c r="C21" s="11">
        <f>INDEX($B$13:$I$16,MATCH(LARGE($K$13:$K$16,3),$K$13:$K$16,0),1)</f>
        <v>1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1</v>
      </c>
      <c r="G21" s="11">
        <f>INDEX($B$13:$I$16,MATCH(LARGE($K$13:$K$16,3),$K$13:$K$16,0),5)</f>
        <v>1</v>
      </c>
      <c r="H21" s="11">
        <f>INDEX($B$13:$I$16,MATCH(LARGE($K$13:$K$16,3),$K$13:$K$16,0),6)</f>
        <v>2</v>
      </c>
      <c r="I21" s="11">
        <f>INDEX($B$13:$I$16,MATCH(LARGE($K$13:$K$16,3),$K$13:$K$16,0),7)</f>
        <v>-1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Qatar</v>
      </c>
      <c r="C22" s="18">
        <f>INDEX($B$13:$I$16,MATCH(LARGE($K$13:$K$16,4),$K$13:$K$16,0),1)</f>
        <v>1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1</v>
      </c>
      <c r="G22" s="18">
        <f>INDEX($B$13:$I$16,MATCH(LARGE($K$13:$K$16,4),$K$13:$K$16,0),5)</f>
        <v>1</v>
      </c>
      <c r="H22" s="18">
        <f>INDEX($B$13:$I$16,MATCH(LARGE($K$13:$K$16,4),$K$13:$K$16,0),6)</f>
        <v>3</v>
      </c>
      <c r="I22" s="18">
        <f>INDEX($B$13:$I$16,MATCH(LARGE($K$13:$K$16,4),$K$13:$K$16,0),7)</f>
        <v>-2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402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93</v>
      </c>
      <c r="B5" s="7" t="s">
        <v>101</v>
      </c>
      <c r="C5" s="10" t="s">
        <v>102</v>
      </c>
      <c r="D5" s="11"/>
      <c r="E5" s="7" t="s">
        <v>386</v>
      </c>
      <c r="F5" s="11"/>
      <c r="G5" s="8" t="s">
        <v>103</v>
      </c>
      <c r="H5" s="7" t="str">
        <f t="shared" ref="H5:H10" si="0">IF(OR(D5="",F5=""),"",IF(D5&gt;F5,"L",IF(D5&lt;F5,"V","E")))</f>
        <v/>
      </c>
      <c r="I5" s="8" t="s">
        <v>104</v>
      </c>
    </row>
    <row r="6" spans="1:11" x14ac:dyDescent="0.25">
      <c r="A6" s="12" t="s">
        <v>93</v>
      </c>
      <c r="B6" s="12" t="s">
        <v>86</v>
      </c>
      <c r="C6" s="13" t="s">
        <v>108</v>
      </c>
      <c r="D6" s="11"/>
      <c r="E6" s="12" t="s">
        <v>386</v>
      </c>
      <c r="F6" s="11"/>
      <c r="G6" s="14" t="s">
        <v>109</v>
      </c>
      <c r="H6" s="12" t="str">
        <f t="shared" si="0"/>
        <v/>
      </c>
      <c r="I6" s="14" t="s">
        <v>110</v>
      </c>
    </row>
    <row r="7" spans="1:11" x14ac:dyDescent="0.25">
      <c r="A7" s="7" t="s">
        <v>238</v>
      </c>
      <c r="B7" s="7" t="s">
        <v>101</v>
      </c>
      <c r="C7" s="10" t="s">
        <v>109</v>
      </c>
      <c r="D7" s="11"/>
      <c r="E7" s="7" t="s">
        <v>386</v>
      </c>
      <c r="F7" s="11"/>
      <c r="G7" s="8" t="s">
        <v>103</v>
      </c>
      <c r="H7" s="7" t="str">
        <f t="shared" si="0"/>
        <v/>
      </c>
      <c r="I7" s="8" t="s">
        <v>110</v>
      </c>
    </row>
    <row r="8" spans="1:11" x14ac:dyDescent="0.25">
      <c r="A8" s="12" t="s">
        <v>238</v>
      </c>
      <c r="B8" s="12" t="s">
        <v>245</v>
      </c>
      <c r="C8" s="13" t="s">
        <v>102</v>
      </c>
      <c r="D8" s="11"/>
      <c r="E8" s="12" t="s">
        <v>386</v>
      </c>
      <c r="F8" s="11"/>
      <c r="G8" s="14" t="s">
        <v>108</v>
      </c>
      <c r="H8" s="12" t="str">
        <f t="shared" si="0"/>
        <v/>
      </c>
      <c r="I8" s="14" t="s">
        <v>141</v>
      </c>
    </row>
    <row r="9" spans="1:11" x14ac:dyDescent="0.25">
      <c r="A9" s="7" t="s">
        <v>307</v>
      </c>
      <c r="B9" s="7" t="s">
        <v>101</v>
      </c>
      <c r="C9" s="10" t="s">
        <v>109</v>
      </c>
      <c r="D9" s="11"/>
      <c r="E9" s="7" t="s">
        <v>386</v>
      </c>
      <c r="F9" s="11"/>
      <c r="G9" s="8" t="s">
        <v>102</v>
      </c>
      <c r="H9" s="7" t="str">
        <f t="shared" si="0"/>
        <v/>
      </c>
      <c r="I9" s="8" t="s">
        <v>169</v>
      </c>
    </row>
    <row r="10" spans="1:11" x14ac:dyDescent="0.25">
      <c r="A10" s="12" t="s">
        <v>307</v>
      </c>
      <c r="B10" s="12" t="s">
        <v>101</v>
      </c>
      <c r="C10" s="13" t="s">
        <v>103</v>
      </c>
      <c r="D10" s="11"/>
      <c r="E10" s="12" t="s">
        <v>386</v>
      </c>
      <c r="F10" s="11"/>
      <c r="G10" s="14" t="s">
        <v>108</v>
      </c>
      <c r="H10" s="12" t="str">
        <f t="shared" si="0"/>
        <v/>
      </c>
      <c r="I10" s="14" t="s">
        <v>156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102</v>
      </c>
      <c r="B13" s="7">
        <f>SUMPRODUCT((($C$5:$C$10="Brasil")+($G$5:$G$10="Brasil"))*($D$5:$D$10&lt;&gt;"")*($F$5:$F$10&lt;&gt;""))</f>
        <v>0</v>
      </c>
      <c r="C13" s="7">
        <f>SUMPRODUCT(($D$5:$D$10&lt;&gt;"")*($F$5:$F$10&lt;&gt;"")*((($C$5:$C$10="Brasil")*(($D$5:$D$10)&gt;($F$5:$F$10)))+(($G$5:$G$10="Brasil")*(($F$5:$F$10)&gt;($D$5:$D$10)))))</f>
        <v>0</v>
      </c>
      <c r="D13" s="7">
        <f>SUMPRODUCT(($D$5:$D$10&lt;&gt;"")*($F$5:$F$10&lt;&gt;"")*(($C$5:$C$10="Brasil")+($G$5:$G$10="Brasil"))*(($D$5:$D$10)=($F$5:$F$10)))</f>
        <v>0</v>
      </c>
      <c r="E13" s="7">
        <f>SUMPRODUCT(($D$5:$D$10&lt;&gt;"")*($F$5:$F$10&lt;&gt;"")*((($C$5:$C$10="Brasil")*(($D$5:$D$10)&lt;($F$5:$F$10)))+(($G$5:$G$10="Brasil")*(($F$5:$F$10)&lt;($D$5:$D$10)))))</f>
        <v>0</v>
      </c>
      <c r="F13" s="7">
        <f>SUMPRODUCT(($D$5:$D$10&lt;&gt;"")*($F$5:$F$10&lt;&gt;"")*((($C$5:$C$10="Brasil")*($D$5:$D$10))+(($G$5:$G$10="Brasil")*($F$5:$F$10))))</f>
        <v>0</v>
      </c>
      <c r="G13" s="7">
        <f>SUMPRODUCT(($D$5:$D$10&lt;&gt;"")*($F$5:$F$10&lt;&gt;"")*((($C$5:$C$10="Brasil")*($F$5:$F$10))+(($G$5:$G$10="Brasil")*($D$5:$D$10))))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103</v>
      </c>
      <c r="B14" s="7">
        <f>SUMPRODUCT((($C$5:$C$10="Marruecos")+($G$5:$G$10="Marruecos"))*($D$5:$D$10&lt;&gt;"")*($F$5:$F$10&lt;&gt;""))</f>
        <v>0</v>
      </c>
      <c r="C14" s="7">
        <f>SUMPRODUCT(($D$5:$D$10&lt;&gt;"")*($F$5:$F$10&lt;&gt;"")*((($C$5:$C$10="Marruecos")*(($D$5:$D$10)&gt;($F$5:$F$10)))+(($G$5:$G$10="Marruecos")*(($F$5:$F$10)&gt;($D$5:$D$10)))))</f>
        <v>0</v>
      </c>
      <c r="D14" s="7">
        <f>SUMPRODUCT(($D$5:$D$10&lt;&gt;"")*($F$5:$F$10&lt;&gt;"")*(($C$5:$C$10="Marruecos")+($G$5:$G$10="Marruecos"))*(($D$5:$D$10)=($F$5:$F$10)))</f>
        <v>0</v>
      </c>
      <c r="E14" s="7">
        <f>SUMPRODUCT(($D$5:$D$10&lt;&gt;"")*($F$5:$F$10&lt;&gt;"")*((($C$5:$C$10="Marruecos")*(($D$5:$D$10)&lt;($F$5:$F$10)))+(($G$5:$G$10="Marruecos")*(($F$5:$F$10)&lt;($D$5:$D$10)))))</f>
        <v>0</v>
      </c>
      <c r="F14" s="7">
        <f>SUMPRODUCT(($D$5:$D$10&lt;&gt;"")*($F$5:$F$10&lt;&gt;"")*((($C$5:$C$10="Marruecos")*($D$5:$D$10))+(($G$5:$G$10="Marruecos")*($F$5:$F$10))))</f>
        <v>0</v>
      </c>
      <c r="G14" s="7">
        <f>SUMPRODUCT(($D$5:$D$10&lt;&gt;"")*($F$5:$F$10&lt;&gt;"")*((($C$5:$C$10="Marruecos")*($F$5:$F$10))+(($G$5:$G$10="Marruecos")*($D$5:$D$10))))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108</v>
      </c>
      <c r="B15" s="7">
        <f>SUMPRODUCT((($C$5:$C$10="Haiti")+($G$5:$G$10="Haiti"))*($D$5:$D$10&lt;&gt;"")*($F$5:$F$10&lt;&gt;""))</f>
        <v>0</v>
      </c>
      <c r="C15" s="7">
        <f>SUMPRODUCT(($D$5:$D$10&lt;&gt;"")*($F$5:$F$10&lt;&gt;"")*((($C$5:$C$10="Haiti")*(($D$5:$D$10)&gt;($F$5:$F$10)))+(($G$5:$G$10="Haiti")*(($F$5:$F$10)&gt;($D$5:$D$10)))))</f>
        <v>0</v>
      </c>
      <c r="D15" s="7">
        <f>SUMPRODUCT(($D$5:$D$10&lt;&gt;"")*($F$5:$F$10&lt;&gt;"")*(($C$5:$C$10="Haiti")+($G$5:$G$10="Haiti"))*(($D$5:$D$10)=($F$5:$F$10)))</f>
        <v>0</v>
      </c>
      <c r="E15" s="7">
        <f>SUMPRODUCT(($D$5:$D$10&lt;&gt;"")*($F$5:$F$10&lt;&gt;"")*((($C$5:$C$10="Haiti")*(($D$5:$D$10)&lt;($F$5:$F$10)))+(($G$5:$G$10="Haiti")*(($F$5:$F$10)&lt;($D$5:$D$10)))))</f>
        <v>0</v>
      </c>
      <c r="F15" s="7">
        <f>SUMPRODUCT(($D$5:$D$10&lt;&gt;"")*($F$5:$F$10&lt;&gt;"")*((($C$5:$C$10="Haiti")*($D$5:$D$10))+(($G$5:$G$10="Haiti")*($F$5:$F$10))))</f>
        <v>0</v>
      </c>
      <c r="G15" s="7">
        <f>SUMPRODUCT(($D$5:$D$10&lt;&gt;"")*($F$5:$F$10&lt;&gt;"")*((($C$5:$C$10="Haiti")*($F$5:$F$10))+(($G$5:$G$10="Haiti")*($D$5:$D$10))))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109</v>
      </c>
      <c r="B16" s="7">
        <f>SUMPRODUCT((($C$5:$C$10="Escocia")+($G$5:$G$10="Escocia"))*($D$5:$D$10&lt;&gt;"")*($F$5:$F$10&lt;&gt;""))</f>
        <v>0</v>
      </c>
      <c r="C16" s="7">
        <f>SUMPRODUCT(($D$5:$D$10&lt;&gt;"")*($F$5:$F$10&lt;&gt;"")*((($C$5:$C$10="Escocia")*(($D$5:$D$10)&gt;($F$5:$F$10)))+(($G$5:$G$10="Escocia")*(($F$5:$F$10)&gt;($D$5:$D$10)))))</f>
        <v>0</v>
      </c>
      <c r="D16" s="7">
        <f>SUMPRODUCT(($D$5:$D$10&lt;&gt;"")*($F$5:$F$10&lt;&gt;"")*(($C$5:$C$10="Escocia")+($G$5:$G$10="Escocia"))*(($D$5:$D$10)=($F$5:$F$10)))</f>
        <v>0</v>
      </c>
      <c r="E16" s="7">
        <f>SUMPRODUCT(($D$5:$D$10&lt;&gt;"")*($F$5:$F$10&lt;&gt;"")*((($C$5:$C$10="Escocia")*(($D$5:$D$10)&lt;($F$5:$F$10)))+(($G$5:$G$10="Escocia")*(($F$5:$F$10)&lt;($D$5:$D$10)))))</f>
        <v>0</v>
      </c>
      <c r="F16" s="7">
        <f>SUMPRODUCT(($D$5:$D$10&lt;&gt;"")*($F$5:$F$10&lt;&gt;"")*((($C$5:$C$10="Escocia")*($D$5:$D$10))+(($G$5:$G$10="Escocia")*($F$5:$F$10))))</f>
        <v>0</v>
      </c>
      <c r="G16" s="7">
        <f>SUMPRODUCT(($D$5:$D$10&lt;&gt;"")*($F$5:$F$10&lt;&gt;"")*((($C$5:$C$10="Escocia")*($F$5:$F$10))+(($G$5:$G$10="Escocia")*($D$5:$D$10))))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Brasil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Marruecos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Haiti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Escocia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403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78</v>
      </c>
      <c r="B5" s="7" t="s">
        <v>86</v>
      </c>
      <c r="C5" s="10" t="s">
        <v>87</v>
      </c>
      <c r="D5" s="11"/>
      <c r="E5" s="7" t="s">
        <v>386</v>
      </c>
      <c r="F5" s="11"/>
      <c r="G5" s="8" t="s">
        <v>88</v>
      </c>
      <c r="H5" s="7" t="str">
        <f t="shared" ref="H5:H10" si="0">IF(OR(D5="",F5=""),"",IF(D5&gt;F5,"L",IF(D5&lt;F5,"V","E")))</f>
        <v/>
      </c>
      <c r="I5" s="8" t="s">
        <v>89</v>
      </c>
    </row>
    <row r="6" spans="1:11" x14ac:dyDescent="0.25">
      <c r="A6" s="12" t="s">
        <v>114</v>
      </c>
      <c r="B6" s="12" t="s">
        <v>115</v>
      </c>
      <c r="C6" s="13" t="s">
        <v>116</v>
      </c>
      <c r="D6" s="11"/>
      <c r="E6" s="12" t="s">
        <v>386</v>
      </c>
      <c r="F6" s="11"/>
      <c r="G6" s="14" t="s">
        <v>117</v>
      </c>
      <c r="H6" s="12" t="str">
        <f t="shared" si="0"/>
        <v/>
      </c>
      <c r="I6" s="14" t="s">
        <v>118</v>
      </c>
    </row>
    <row r="7" spans="1:11" x14ac:dyDescent="0.25">
      <c r="A7" s="7" t="s">
        <v>238</v>
      </c>
      <c r="B7" s="7" t="s">
        <v>63</v>
      </c>
      <c r="C7" s="10" t="s">
        <v>87</v>
      </c>
      <c r="D7" s="11"/>
      <c r="E7" s="7" t="s">
        <v>386</v>
      </c>
      <c r="F7" s="11"/>
      <c r="G7" s="8" t="s">
        <v>116</v>
      </c>
      <c r="H7" s="7" t="str">
        <f t="shared" si="0"/>
        <v/>
      </c>
      <c r="I7" s="8" t="s">
        <v>163</v>
      </c>
    </row>
    <row r="8" spans="1:11" x14ac:dyDescent="0.25">
      <c r="A8" s="12" t="s">
        <v>249</v>
      </c>
      <c r="B8" s="12" t="s">
        <v>250</v>
      </c>
      <c r="C8" s="13" t="s">
        <v>117</v>
      </c>
      <c r="D8" s="11"/>
      <c r="E8" s="12" t="s">
        <v>386</v>
      </c>
      <c r="F8" s="11"/>
      <c r="G8" s="14" t="s">
        <v>88</v>
      </c>
      <c r="H8" s="12" t="str">
        <f t="shared" si="0"/>
        <v/>
      </c>
      <c r="I8" s="14" t="s">
        <v>96</v>
      </c>
    </row>
    <row r="9" spans="1:11" x14ac:dyDescent="0.25">
      <c r="A9" s="7" t="s">
        <v>326</v>
      </c>
      <c r="B9" s="7" t="s">
        <v>70</v>
      </c>
      <c r="C9" s="10" t="s">
        <v>117</v>
      </c>
      <c r="D9" s="11"/>
      <c r="E9" s="7" t="s">
        <v>386</v>
      </c>
      <c r="F9" s="11"/>
      <c r="G9" s="8" t="s">
        <v>87</v>
      </c>
      <c r="H9" s="7" t="str">
        <f t="shared" si="0"/>
        <v/>
      </c>
      <c r="I9" s="8" t="s">
        <v>89</v>
      </c>
    </row>
    <row r="10" spans="1:11" x14ac:dyDescent="0.25">
      <c r="A10" s="12" t="s">
        <v>326</v>
      </c>
      <c r="B10" s="12" t="s">
        <v>70</v>
      </c>
      <c r="C10" s="13" t="s">
        <v>88</v>
      </c>
      <c r="D10" s="11"/>
      <c r="E10" s="12" t="s">
        <v>386</v>
      </c>
      <c r="F10" s="11"/>
      <c r="G10" s="14" t="s">
        <v>116</v>
      </c>
      <c r="H10" s="12" t="str">
        <f t="shared" si="0"/>
        <v/>
      </c>
      <c r="I10" s="14" t="s">
        <v>96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87</v>
      </c>
      <c r="B13" s="7">
        <f>SUMPRODUCT((($C$5:$C$10="Estados Unidos")+($G$5:$G$10="Estados Unidos"))*($D$5:$D$10&lt;&gt;"")*($F$5:$F$10&lt;&gt;""))</f>
        <v>0</v>
      </c>
      <c r="C13" s="7">
        <f>SUMPRODUCT(($D$5:$D$10&lt;&gt;"")*($F$5:$F$10&lt;&gt;"")*((($C$5:$C$10="Estados Unidos")*(($D$5:$D$10)&gt;($F$5:$F$10)))+(($G$5:$G$10="Estados Unidos")*(($F$5:$F$10)&gt;($D$5:$D$10)))))</f>
        <v>0</v>
      </c>
      <c r="D13" s="7">
        <f>SUMPRODUCT(($D$5:$D$10&lt;&gt;"")*($F$5:$F$10&lt;&gt;"")*(($C$5:$C$10="Estados Unidos")+($G$5:$G$10="Estados Unidos"))*(($D$5:$D$10)=($F$5:$F$10)))</f>
        <v>0</v>
      </c>
      <c r="E13" s="7">
        <f>SUMPRODUCT(($D$5:$D$10&lt;&gt;"")*($F$5:$F$10&lt;&gt;"")*((($C$5:$C$10="Estados Unidos")*(($D$5:$D$10)&lt;($F$5:$F$10)))+(($G$5:$G$10="Estados Unidos")*(($F$5:$F$10)&lt;($D$5:$D$10)))))</f>
        <v>0</v>
      </c>
      <c r="F13" s="7">
        <f>SUMPRODUCT(($D$5:$D$10&lt;&gt;"")*($F$5:$F$10&lt;&gt;"")*((($C$5:$C$10="Estados Unidos")*($D$5:$D$10))+(($G$5:$G$10="Estados Unidos")*($F$5:$F$10))))</f>
        <v>0</v>
      </c>
      <c r="G13" s="7">
        <f>SUMPRODUCT(($D$5:$D$10&lt;&gt;"")*($F$5:$F$10&lt;&gt;"")*((($C$5:$C$10="Estados Unidos")*($F$5:$F$10))+(($G$5:$G$10="Estados Unidos")*($D$5:$D$10))))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88</v>
      </c>
      <c r="B14" s="7">
        <f>SUMPRODUCT((($C$5:$C$10="Paraguay")+($G$5:$G$10="Paraguay"))*($D$5:$D$10&lt;&gt;"")*($F$5:$F$10&lt;&gt;""))</f>
        <v>0</v>
      </c>
      <c r="C14" s="7">
        <f>SUMPRODUCT(($D$5:$D$10&lt;&gt;"")*($F$5:$F$10&lt;&gt;"")*((($C$5:$C$10="Paraguay")*(($D$5:$D$10)&gt;($F$5:$F$10)))+(($G$5:$G$10="Paraguay")*(($F$5:$F$10)&gt;($D$5:$D$10)))))</f>
        <v>0</v>
      </c>
      <c r="D14" s="7">
        <f>SUMPRODUCT(($D$5:$D$10&lt;&gt;"")*($F$5:$F$10&lt;&gt;"")*(($C$5:$C$10="Paraguay")+($G$5:$G$10="Paraguay"))*(($D$5:$D$10)=($F$5:$F$10)))</f>
        <v>0</v>
      </c>
      <c r="E14" s="7">
        <f>SUMPRODUCT(($D$5:$D$10&lt;&gt;"")*($F$5:$F$10&lt;&gt;"")*((($C$5:$C$10="Paraguay")*(($D$5:$D$10)&lt;($F$5:$F$10)))+(($G$5:$G$10="Paraguay")*(($F$5:$F$10)&lt;($D$5:$D$10)))))</f>
        <v>0</v>
      </c>
      <c r="F14" s="7">
        <f>SUMPRODUCT(($D$5:$D$10&lt;&gt;"")*($F$5:$F$10&lt;&gt;"")*((($C$5:$C$10="Paraguay")*($D$5:$D$10))+(($G$5:$G$10="Paraguay")*($F$5:$F$10))))</f>
        <v>0</v>
      </c>
      <c r="G14" s="7">
        <f>SUMPRODUCT(($D$5:$D$10&lt;&gt;"")*($F$5:$F$10&lt;&gt;"")*((($C$5:$C$10="Paraguay")*($F$5:$F$10))+(($G$5:$G$10="Paraguay")*($D$5:$D$10))))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116</v>
      </c>
      <c r="B15" s="7">
        <f>SUMPRODUCT((($C$5:$C$10="Australia")+($G$5:$G$10="Australia"))*($D$5:$D$10&lt;&gt;"")*($F$5:$F$10&lt;&gt;""))</f>
        <v>0</v>
      </c>
      <c r="C15" s="7">
        <f>SUMPRODUCT(($D$5:$D$10&lt;&gt;"")*($F$5:$F$10&lt;&gt;"")*((($C$5:$C$10="Australia")*(($D$5:$D$10)&gt;($F$5:$F$10)))+(($G$5:$G$10="Australia")*(($F$5:$F$10)&gt;($D$5:$D$10)))))</f>
        <v>0</v>
      </c>
      <c r="D15" s="7">
        <f>SUMPRODUCT(($D$5:$D$10&lt;&gt;"")*($F$5:$F$10&lt;&gt;"")*(($C$5:$C$10="Australia")+($G$5:$G$10="Australia"))*(($D$5:$D$10)=($F$5:$F$10)))</f>
        <v>0</v>
      </c>
      <c r="E15" s="7">
        <f>SUMPRODUCT(($D$5:$D$10&lt;&gt;"")*($F$5:$F$10&lt;&gt;"")*((($C$5:$C$10="Australia")*(($D$5:$D$10)&lt;($F$5:$F$10)))+(($G$5:$G$10="Australia")*(($F$5:$F$10)&lt;($D$5:$D$10)))))</f>
        <v>0</v>
      </c>
      <c r="F15" s="7">
        <f>SUMPRODUCT(($D$5:$D$10&lt;&gt;"")*($F$5:$F$10&lt;&gt;"")*((($C$5:$C$10="Australia")*($D$5:$D$10))+(($G$5:$G$10="Australia")*($F$5:$F$10))))</f>
        <v>0</v>
      </c>
      <c r="G15" s="7">
        <f>SUMPRODUCT(($D$5:$D$10&lt;&gt;"")*($F$5:$F$10&lt;&gt;"")*((($C$5:$C$10="Australia")*($F$5:$F$10))+(($G$5:$G$10="Australia")*($D$5:$D$10))))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117</v>
      </c>
      <c r="B16" s="7">
        <f>SUMPRODUCT((($C$5:$C$10="Turquia")+($G$5:$G$10="Turquia"))*($D$5:$D$10&lt;&gt;"")*($F$5:$F$10&lt;&gt;""))</f>
        <v>0</v>
      </c>
      <c r="C16" s="7">
        <f>SUMPRODUCT(($D$5:$D$10&lt;&gt;"")*($F$5:$F$10&lt;&gt;"")*((($C$5:$C$10="Turquia")*(($D$5:$D$10)&gt;($F$5:$F$10)))+(($G$5:$G$10="Turquia")*(($F$5:$F$10)&gt;($D$5:$D$10)))))</f>
        <v>0</v>
      </c>
      <c r="D16" s="7">
        <f>SUMPRODUCT(($D$5:$D$10&lt;&gt;"")*($F$5:$F$10&lt;&gt;"")*(($C$5:$C$10="Turquia")+($G$5:$G$10="Turquia"))*(($D$5:$D$10)=($F$5:$F$10)))</f>
        <v>0</v>
      </c>
      <c r="E16" s="7">
        <f>SUMPRODUCT(($D$5:$D$10&lt;&gt;"")*($F$5:$F$10&lt;&gt;"")*((($C$5:$C$10="Turquia")*(($D$5:$D$10)&lt;($F$5:$F$10)))+(($G$5:$G$10="Turquia")*(($F$5:$F$10)&lt;($D$5:$D$10)))))</f>
        <v>0</v>
      </c>
      <c r="F16" s="7">
        <f>SUMPRODUCT(($D$5:$D$10&lt;&gt;"")*($F$5:$F$10&lt;&gt;"")*((($C$5:$C$10="Turquia")*($D$5:$D$10))+(($G$5:$G$10="Turquia")*($F$5:$F$10))))</f>
        <v>0</v>
      </c>
      <c r="G16" s="7">
        <f>SUMPRODUCT(($D$5:$D$10&lt;&gt;"")*($F$5:$F$10&lt;&gt;"")*((($C$5:$C$10="Turquia")*($F$5:$F$10))+(($G$5:$G$10="Turquia")*($D$5:$D$10))))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Estados Unidos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Paraguay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Australia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Turquia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404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114</v>
      </c>
      <c r="B5" s="7" t="s">
        <v>123</v>
      </c>
      <c r="C5" s="10" t="s">
        <v>124</v>
      </c>
      <c r="D5" s="11"/>
      <c r="E5" s="7" t="s">
        <v>386</v>
      </c>
      <c r="F5" s="11"/>
      <c r="G5" s="8" t="s">
        <v>125</v>
      </c>
      <c r="H5" s="7" t="str">
        <f t="shared" ref="H5:H10" si="0">IF(OR(D5="",F5=""),"",IF(D5&gt;F5,"L",IF(D5&lt;F5,"V","E")))</f>
        <v/>
      </c>
      <c r="I5" s="8" t="s">
        <v>126</v>
      </c>
    </row>
    <row r="6" spans="1:11" x14ac:dyDescent="0.25">
      <c r="A6" s="12" t="s">
        <v>114</v>
      </c>
      <c r="B6" s="12" t="s">
        <v>138</v>
      </c>
      <c r="C6" s="13" t="s">
        <v>139</v>
      </c>
      <c r="D6" s="11"/>
      <c r="E6" s="12" t="s">
        <v>386</v>
      </c>
      <c r="F6" s="11"/>
      <c r="G6" s="14" t="s">
        <v>140</v>
      </c>
      <c r="H6" s="12" t="str">
        <f t="shared" si="0"/>
        <v/>
      </c>
      <c r="I6" s="14" t="s">
        <v>141</v>
      </c>
    </row>
    <row r="7" spans="1:11" x14ac:dyDescent="0.25">
      <c r="A7" s="7" t="s">
        <v>249</v>
      </c>
      <c r="B7" s="7" t="s">
        <v>131</v>
      </c>
      <c r="C7" s="10" t="s">
        <v>124</v>
      </c>
      <c r="D7" s="11"/>
      <c r="E7" s="7" t="s">
        <v>386</v>
      </c>
      <c r="F7" s="11"/>
      <c r="G7" s="8" t="s">
        <v>139</v>
      </c>
      <c r="H7" s="7" t="str">
        <f t="shared" si="0"/>
        <v/>
      </c>
      <c r="I7" s="8" t="s">
        <v>81</v>
      </c>
    </row>
    <row r="8" spans="1:11" x14ac:dyDescent="0.25">
      <c r="A8" s="12" t="s">
        <v>249</v>
      </c>
      <c r="B8" s="12" t="s">
        <v>260</v>
      </c>
      <c r="C8" s="13" t="s">
        <v>140</v>
      </c>
      <c r="D8" s="11"/>
      <c r="E8" s="12" t="s">
        <v>386</v>
      </c>
      <c r="F8" s="11"/>
      <c r="G8" s="14" t="s">
        <v>125</v>
      </c>
      <c r="H8" s="12" t="str">
        <f t="shared" si="0"/>
        <v/>
      </c>
      <c r="I8" s="14" t="s">
        <v>193</v>
      </c>
    </row>
    <row r="9" spans="1:11" x14ac:dyDescent="0.25">
      <c r="A9" s="7" t="s">
        <v>326</v>
      </c>
      <c r="B9" s="7" t="s">
        <v>131</v>
      </c>
      <c r="C9" s="10" t="s">
        <v>125</v>
      </c>
      <c r="D9" s="11"/>
      <c r="E9" s="7" t="s">
        <v>386</v>
      </c>
      <c r="F9" s="11"/>
      <c r="G9" s="8" t="s">
        <v>139</v>
      </c>
      <c r="H9" s="7" t="str">
        <f t="shared" si="0"/>
        <v/>
      </c>
      <c r="I9" s="8" t="s">
        <v>141</v>
      </c>
    </row>
    <row r="10" spans="1:11" x14ac:dyDescent="0.25">
      <c r="A10" s="12" t="s">
        <v>326</v>
      </c>
      <c r="B10" s="12" t="s">
        <v>131</v>
      </c>
      <c r="C10" s="13" t="s">
        <v>140</v>
      </c>
      <c r="D10" s="11"/>
      <c r="E10" s="12" t="s">
        <v>386</v>
      </c>
      <c r="F10" s="11"/>
      <c r="G10" s="14" t="s">
        <v>124</v>
      </c>
      <c r="H10" s="12" t="str">
        <f t="shared" si="0"/>
        <v/>
      </c>
      <c r="I10" s="14" t="s">
        <v>104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124</v>
      </c>
      <c r="B13" s="7">
        <f>SUMPRODUCT((($C$5:$C$10="Alemania")+($G$5:$G$10="Alemania"))*($D$5:$D$10&lt;&gt;"")*($F$5:$F$10&lt;&gt;""))</f>
        <v>0</v>
      </c>
      <c r="C13" s="7">
        <f>SUMPRODUCT(($D$5:$D$10&lt;&gt;"")*($F$5:$F$10&lt;&gt;"")*((($C$5:$C$10="Alemania")*(($D$5:$D$10)&gt;($F$5:$F$10)))+(($G$5:$G$10="Alemania")*(($F$5:$F$10)&gt;($D$5:$D$10)))))</f>
        <v>0</v>
      </c>
      <c r="D13" s="7">
        <f>SUMPRODUCT(($D$5:$D$10&lt;&gt;"")*($F$5:$F$10&lt;&gt;"")*(($C$5:$C$10="Alemania")+($G$5:$G$10="Alemania"))*(($D$5:$D$10)=($F$5:$F$10)))</f>
        <v>0</v>
      </c>
      <c r="E13" s="7">
        <f>SUMPRODUCT(($D$5:$D$10&lt;&gt;"")*($F$5:$F$10&lt;&gt;"")*((($C$5:$C$10="Alemania")*(($D$5:$D$10)&lt;($F$5:$F$10)))+(($G$5:$G$10="Alemania")*(($F$5:$F$10)&lt;($D$5:$D$10)))))</f>
        <v>0</v>
      </c>
      <c r="F13" s="7">
        <f>SUMPRODUCT(($D$5:$D$10&lt;&gt;"")*($F$5:$F$10&lt;&gt;"")*((($C$5:$C$10="Alemania")*($D$5:$D$10))+(($G$5:$G$10="Alemania")*($F$5:$F$10))))</f>
        <v>0</v>
      </c>
      <c r="G13" s="7">
        <f>SUMPRODUCT(($D$5:$D$10&lt;&gt;"")*($F$5:$F$10&lt;&gt;"")*((($C$5:$C$10="Alemania")*($F$5:$F$10))+(($G$5:$G$10="Alemania")*($D$5:$D$10))))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125</v>
      </c>
      <c r="B14" s="7">
        <f>SUMPRODUCT((($C$5:$C$10="Curazao")+($G$5:$G$10="Curazao"))*($D$5:$D$10&lt;&gt;"")*($F$5:$F$10&lt;&gt;""))</f>
        <v>0</v>
      </c>
      <c r="C14" s="7">
        <f>SUMPRODUCT(($D$5:$D$10&lt;&gt;"")*($F$5:$F$10&lt;&gt;"")*((($C$5:$C$10="Curazao")*(($D$5:$D$10)&gt;($F$5:$F$10)))+(($G$5:$G$10="Curazao")*(($F$5:$F$10)&gt;($D$5:$D$10)))))</f>
        <v>0</v>
      </c>
      <c r="D14" s="7">
        <f>SUMPRODUCT(($D$5:$D$10&lt;&gt;"")*($F$5:$F$10&lt;&gt;"")*(($C$5:$C$10="Curazao")+($G$5:$G$10="Curazao"))*(($D$5:$D$10)=($F$5:$F$10)))</f>
        <v>0</v>
      </c>
      <c r="E14" s="7">
        <f>SUMPRODUCT(($D$5:$D$10&lt;&gt;"")*($F$5:$F$10&lt;&gt;"")*((($C$5:$C$10="Curazao")*(($D$5:$D$10)&lt;($F$5:$F$10)))+(($G$5:$G$10="Curazao")*(($F$5:$F$10)&lt;($D$5:$D$10)))))</f>
        <v>0</v>
      </c>
      <c r="F14" s="7">
        <f>SUMPRODUCT(($D$5:$D$10&lt;&gt;"")*($F$5:$F$10&lt;&gt;"")*((($C$5:$C$10="Curazao")*($D$5:$D$10))+(($G$5:$G$10="Curazao")*($F$5:$F$10))))</f>
        <v>0</v>
      </c>
      <c r="G14" s="7">
        <f>SUMPRODUCT(($D$5:$D$10&lt;&gt;"")*($F$5:$F$10&lt;&gt;"")*((($C$5:$C$10="Curazao")*($F$5:$F$10))+(($G$5:$G$10="Curazao")*($D$5:$D$10))))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139</v>
      </c>
      <c r="B15" s="7">
        <f>SUMPRODUCT((($C$5:$C$10="Costa de Marfil")+($G$5:$G$10="Costa de Marfil"))*($D$5:$D$10&lt;&gt;"")*($F$5:$F$10&lt;&gt;""))</f>
        <v>0</v>
      </c>
      <c r="C15" s="7">
        <f>SUMPRODUCT(($D$5:$D$10&lt;&gt;"")*($F$5:$F$10&lt;&gt;"")*((($C$5:$C$10="Costa de Marfil")*(($D$5:$D$10)&gt;($F$5:$F$10)))+(($G$5:$G$10="Costa de Marfil")*(($F$5:$F$10)&gt;($D$5:$D$10)))))</f>
        <v>0</v>
      </c>
      <c r="D15" s="7">
        <f>SUMPRODUCT(($D$5:$D$10&lt;&gt;"")*($F$5:$F$10&lt;&gt;"")*(($C$5:$C$10="Costa de Marfil")+($G$5:$G$10="Costa de Marfil"))*(($D$5:$D$10)=($F$5:$F$10)))</f>
        <v>0</v>
      </c>
      <c r="E15" s="7">
        <f>SUMPRODUCT(($D$5:$D$10&lt;&gt;"")*($F$5:$F$10&lt;&gt;"")*((($C$5:$C$10="Costa de Marfil")*(($D$5:$D$10)&lt;($F$5:$F$10)))+(($G$5:$G$10="Costa de Marfil")*(($F$5:$F$10)&lt;($D$5:$D$10)))))</f>
        <v>0</v>
      </c>
      <c r="F15" s="7">
        <f>SUMPRODUCT(($D$5:$D$10&lt;&gt;"")*($F$5:$F$10&lt;&gt;"")*((($C$5:$C$10="Costa de Marfil")*($D$5:$D$10))+(($G$5:$G$10="Costa de Marfil")*($F$5:$F$10))))</f>
        <v>0</v>
      </c>
      <c r="G15" s="7">
        <f>SUMPRODUCT(($D$5:$D$10&lt;&gt;"")*($F$5:$F$10&lt;&gt;"")*((($C$5:$C$10="Costa de Marfil")*($F$5:$F$10))+(($G$5:$G$10="Costa de Marfil")*($D$5:$D$10))))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140</v>
      </c>
      <c r="B16" s="7">
        <f>SUMPRODUCT((($C$5:$C$10="Ecuador")+($G$5:$G$10="Ecuador"))*($D$5:$D$10&lt;&gt;"")*($F$5:$F$10&lt;&gt;""))</f>
        <v>0</v>
      </c>
      <c r="C16" s="7">
        <f>SUMPRODUCT(($D$5:$D$10&lt;&gt;"")*($F$5:$F$10&lt;&gt;"")*((($C$5:$C$10="Ecuador")*(($D$5:$D$10)&gt;($F$5:$F$10)))+(($G$5:$G$10="Ecuador")*(($F$5:$F$10)&gt;($D$5:$D$10)))))</f>
        <v>0</v>
      </c>
      <c r="D16" s="7">
        <f>SUMPRODUCT(($D$5:$D$10&lt;&gt;"")*($F$5:$F$10&lt;&gt;"")*(($C$5:$C$10="Ecuador")+($G$5:$G$10="Ecuador"))*(($D$5:$D$10)=($F$5:$F$10)))</f>
        <v>0</v>
      </c>
      <c r="E16" s="7">
        <f>SUMPRODUCT(($D$5:$D$10&lt;&gt;"")*($F$5:$F$10&lt;&gt;"")*((($C$5:$C$10="Ecuador")*(($D$5:$D$10)&lt;($F$5:$F$10)))+(($G$5:$G$10="Ecuador")*(($F$5:$F$10)&lt;($D$5:$D$10)))))</f>
        <v>0</v>
      </c>
      <c r="F16" s="7">
        <f>SUMPRODUCT(($D$5:$D$10&lt;&gt;"")*($F$5:$F$10&lt;&gt;"")*((($C$5:$C$10="Ecuador")*($D$5:$D$10))+(($G$5:$G$10="Ecuador")*($F$5:$F$10))))</f>
        <v>0</v>
      </c>
      <c r="G16" s="7">
        <f>SUMPRODUCT(($D$5:$D$10&lt;&gt;"")*($F$5:$F$10&lt;&gt;"")*((($C$5:$C$10="Ecuador")*($F$5:$F$10))+(($G$5:$G$10="Ecuador")*($D$5:$D$10))))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Alemania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Curazao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Costa de Marfil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Ecuador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405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114</v>
      </c>
      <c r="B5" s="7" t="s">
        <v>131</v>
      </c>
      <c r="C5" s="10" t="s">
        <v>132</v>
      </c>
      <c r="D5" s="11"/>
      <c r="E5" s="7" t="s">
        <v>386</v>
      </c>
      <c r="F5" s="11"/>
      <c r="G5" s="8" t="s">
        <v>133</v>
      </c>
      <c r="H5" s="7" t="str">
        <f t="shared" ref="H5:H10" si="0">IF(OR(D5="",F5=""),"",IF(D5&gt;F5,"L",IF(D5&lt;F5,"V","E")))</f>
        <v/>
      </c>
      <c r="I5" s="8" t="s">
        <v>134</v>
      </c>
    </row>
    <row r="6" spans="1:11" x14ac:dyDescent="0.25">
      <c r="A6" s="12" t="s">
        <v>114</v>
      </c>
      <c r="B6" s="12" t="s">
        <v>70</v>
      </c>
      <c r="C6" s="13" t="s">
        <v>145</v>
      </c>
      <c r="D6" s="11"/>
      <c r="E6" s="12" t="s">
        <v>386</v>
      </c>
      <c r="F6" s="11"/>
      <c r="G6" s="14" t="s">
        <v>146</v>
      </c>
      <c r="H6" s="12" t="str">
        <f t="shared" si="0"/>
        <v/>
      </c>
      <c r="I6" s="14" t="s">
        <v>147</v>
      </c>
    </row>
    <row r="7" spans="1:11" x14ac:dyDescent="0.25">
      <c r="A7" s="7" t="s">
        <v>249</v>
      </c>
      <c r="B7" s="7" t="s">
        <v>123</v>
      </c>
      <c r="C7" s="10" t="s">
        <v>132</v>
      </c>
      <c r="D7" s="11"/>
      <c r="E7" s="7" t="s">
        <v>386</v>
      </c>
      <c r="F7" s="11"/>
      <c r="G7" s="8" t="s">
        <v>145</v>
      </c>
      <c r="H7" s="7" t="str">
        <f t="shared" si="0"/>
        <v/>
      </c>
      <c r="I7" s="8" t="s">
        <v>126</v>
      </c>
    </row>
    <row r="8" spans="1:11" x14ac:dyDescent="0.25">
      <c r="A8" s="12" t="s">
        <v>264</v>
      </c>
      <c r="B8" s="12" t="s">
        <v>115</v>
      </c>
      <c r="C8" s="13" t="s">
        <v>146</v>
      </c>
      <c r="D8" s="11"/>
      <c r="E8" s="12" t="s">
        <v>386</v>
      </c>
      <c r="F8" s="11"/>
      <c r="G8" s="14" t="s">
        <v>133</v>
      </c>
      <c r="H8" s="12" t="str">
        <f t="shared" si="0"/>
        <v/>
      </c>
      <c r="I8" s="14" t="s">
        <v>147</v>
      </c>
    </row>
    <row r="9" spans="1:11" x14ac:dyDescent="0.25">
      <c r="A9" s="7" t="s">
        <v>326</v>
      </c>
      <c r="B9" s="7" t="s">
        <v>138</v>
      </c>
      <c r="C9" s="10" t="s">
        <v>133</v>
      </c>
      <c r="D9" s="11"/>
      <c r="E9" s="7" t="s">
        <v>386</v>
      </c>
      <c r="F9" s="11"/>
      <c r="G9" s="8" t="s">
        <v>145</v>
      </c>
      <c r="H9" s="7" t="str">
        <f t="shared" si="0"/>
        <v/>
      </c>
      <c r="I9" s="8" t="s">
        <v>134</v>
      </c>
    </row>
    <row r="10" spans="1:11" x14ac:dyDescent="0.25">
      <c r="A10" s="12" t="s">
        <v>326</v>
      </c>
      <c r="B10" s="12" t="s">
        <v>138</v>
      </c>
      <c r="C10" s="13" t="s">
        <v>146</v>
      </c>
      <c r="D10" s="11"/>
      <c r="E10" s="12" t="s">
        <v>386</v>
      </c>
      <c r="F10" s="11"/>
      <c r="G10" s="14" t="s">
        <v>132</v>
      </c>
      <c r="H10" s="12" t="str">
        <f t="shared" si="0"/>
        <v/>
      </c>
      <c r="I10" s="14" t="s">
        <v>193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132</v>
      </c>
      <c r="B13" s="7">
        <f>SUMPRODUCT((($C$5:$C$10="Paises Bajos")+($G$5:$G$10="Paises Bajos"))*($D$5:$D$10&lt;&gt;"")*($F$5:$F$10&lt;&gt;""))</f>
        <v>0</v>
      </c>
      <c r="C13" s="7">
        <f>SUMPRODUCT(($D$5:$D$10&lt;&gt;"")*($F$5:$F$10&lt;&gt;"")*((($C$5:$C$10="Paises Bajos")*(($D$5:$D$10)&gt;($F$5:$F$10)))+(($G$5:$G$10="Paises Bajos")*(($F$5:$F$10)&gt;($D$5:$D$10)))))</f>
        <v>0</v>
      </c>
      <c r="D13" s="7">
        <f>SUMPRODUCT(($D$5:$D$10&lt;&gt;"")*($F$5:$F$10&lt;&gt;"")*(($C$5:$C$10="Paises Bajos")+($G$5:$G$10="Paises Bajos"))*(($D$5:$D$10)=($F$5:$F$10)))</f>
        <v>0</v>
      </c>
      <c r="E13" s="7">
        <f>SUMPRODUCT(($D$5:$D$10&lt;&gt;"")*($F$5:$F$10&lt;&gt;"")*((($C$5:$C$10="Paises Bajos")*(($D$5:$D$10)&lt;($F$5:$F$10)))+(($G$5:$G$10="Paises Bajos")*(($F$5:$F$10)&lt;($D$5:$D$10)))))</f>
        <v>0</v>
      </c>
      <c r="F13" s="7">
        <f>SUMPRODUCT(($D$5:$D$10&lt;&gt;"")*($F$5:$F$10&lt;&gt;"")*((($C$5:$C$10="Paises Bajos")*($D$5:$D$10))+(($G$5:$G$10="Paises Bajos")*($F$5:$F$10))))</f>
        <v>0</v>
      </c>
      <c r="G13" s="7">
        <f>SUMPRODUCT(($D$5:$D$10&lt;&gt;"")*($F$5:$F$10&lt;&gt;"")*((($C$5:$C$10="Paises Bajos")*($F$5:$F$10))+(($G$5:$G$10="Paises Bajos")*($D$5:$D$10))))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133</v>
      </c>
      <c r="B14" s="7">
        <f>SUMPRODUCT((($C$5:$C$10="Japon")+($G$5:$G$10="Japon"))*($D$5:$D$10&lt;&gt;"")*($F$5:$F$10&lt;&gt;""))</f>
        <v>0</v>
      </c>
      <c r="C14" s="7">
        <f>SUMPRODUCT(($D$5:$D$10&lt;&gt;"")*($F$5:$F$10&lt;&gt;"")*((($C$5:$C$10="Japon")*(($D$5:$D$10)&gt;($F$5:$F$10)))+(($G$5:$G$10="Japon")*(($F$5:$F$10)&gt;($D$5:$D$10)))))</f>
        <v>0</v>
      </c>
      <c r="D14" s="7">
        <f>SUMPRODUCT(($D$5:$D$10&lt;&gt;"")*($F$5:$F$10&lt;&gt;"")*(($C$5:$C$10="Japon")+($G$5:$G$10="Japon"))*(($D$5:$D$10)=($F$5:$F$10)))</f>
        <v>0</v>
      </c>
      <c r="E14" s="7">
        <f>SUMPRODUCT(($D$5:$D$10&lt;&gt;"")*($F$5:$F$10&lt;&gt;"")*((($C$5:$C$10="Japon")*(($D$5:$D$10)&lt;($F$5:$F$10)))+(($G$5:$G$10="Japon")*(($F$5:$F$10)&lt;($D$5:$D$10)))))</f>
        <v>0</v>
      </c>
      <c r="F14" s="7">
        <f>SUMPRODUCT(($D$5:$D$10&lt;&gt;"")*($F$5:$F$10&lt;&gt;"")*((($C$5:$C$10="Japon")*($D$5:$D$10))+(($G$5:$G$10="Japon")*($F$5:$F$10))))</f>
        <v>0</v>
      </c>
      <c r="G14" s="7">
        <f>SUMPRODUCT(($D$5:$D$10&lt;&gt;"")*($F$5:$F$10&lt;&gt;"")*((($C$5:$C$10="Japon")*($F$5:$F$10))+(($G$5:$G$10="Japon")*($D$5:$D$10))))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145</v>
      </c>
      <c r="B15" s="7">
        <f>SUMPRODUCT((($C$5:$C$10="Suecia")+($G$5:$G$10="Suecia"))*($D$5:$D$10&lt;&gt;"")*($F$5:$F$10&lt;&gt;""))</f>
        <v>0</v>
      </c>
      <c r="C15" s="7">
        <f>SUMPRODUCT(($D$5:$D$10&lt;&gt;"")*($F$5:$F$10&lt;&gt;"")*((($C$5:$C$10="Suecia")*(($D$5:$D$10)&gt;($F$5:$F$10)))+(($G$5:$G$10="Suecia")*(($F$5:$F$10)&gt;($D$5:$D$10)))))</f>
        <v>0</v>
      </c>
      <c r="D15" s="7">
        <f>SUMPRODUCT(($D$5:$D$10&lt;&gt;"")*($F$5:$F$10&lt;&gt;"")*(($C$5:$C$10="Suecia")+($G$5:$G$10="Suecia"))*(($D$5:$D$10)=($F$5:$F$10)))</f>
        <v>0</v>
      </c>
      <c r="E15" s="7">
        <f>SUMPRODUCT(($D$5:$D$10&lt;&gt;"")*($F$5:$F$10&lt;&gt;"")*((($C$5:$C$10="Suecia")*(($D$5:$D$10)&lt;($F$5:$F$10)))+(($G$5:$G$10="Suecia")*(($F$5:$F$10)&lt;($D$5:$D$10)))))</f>
        <v>0</v>
      </c>
      <c r="F15" s="7">
        <f>SUMPRODUCT(($D$5:$D$10&lt;&gt;"")*($F$5:$F$10&lt;&gt;"")*((($C$5:$C$10="Suecia")*($D$5:$D$10))+(($G$5:$G$10="Suecia")*($F$5:$F$10))))</f>
        <v>0</v>
      </c>
      <c r="G15" s="7">
        <f>SUMPRODUCT(($D$5:$D$10&lt;&gt;"")*($F$5:$F$10&lt;&gt;"")*((($C$5:$C$10="Suecia")*($F$5:$F$10))+(($G$5:$G$10="Suecia")*($D$5:$D$10))))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146</v>
      </c>
      <c r="B16" s="7">
        <f>SUMPRODUCT((($C$5:$C$10="Tunez")+($G$5:$G$10="Tunez"))*($D$5:$D$10&lt;&gt;"")*($F$5:$F$10&lt;&gt;""))</f>
        <v>0</v>
      </c>
      <c r="C16" s="7">
        <f>SUMPRODUCT(($D$5:$D$10&lt;&gt;"")*($F$5:$F$10&lt;&gt;"")*((($C$5:$C$10="Tunez")*(($D$5:$D$10)&gt;($F$5:$F$10)))+(($G$5:$G$10="Tunez")*(($F$5:$F$10)&gt;($D$5:$D$10)))))</f>
        <v>0</v>
      </c>
      <c r="D16" s="7">
        <f>SUMPRODUCT(($D$5:$D$10&lt;&gt;"")*($F$5:$F$10&lt;&gt;"")*(($C$5:$C$10="Tunez")+($G$5:$G$10="Tunez"))*(($D$5:$D$10)=($F$5:$F$10)))</f>
        <v>0</v>
      </c>
      <c r="E16" s="7">
        <f>SUMPRODUCT(($D$5:$D$10&lt;&gt;"")*($F$5:$F$10&lt;&gt;"")*((($C$5:$C$10="Tunez")*(($D$5:$D$10)&lt;($F$5:$F$10)))+(($G$5:$G$10="Tunez")*(($F$5:$F$10)&lt;($D$5:$D$10)))))</f>
        <v>0</v>
      </c>
      <c r="F16" s="7">
        <f>SUMPRODUCT(($D$5:$D$10&lt;&gt;"")*($F$5:$F$10&lt;&gt;"")*((($C$5:$C$10="Tunez")*($D$5:$D$10))+(($G$5:$G$10="Tunez")*($F$5:$F$10))))</f>
        <v>0</v>
      </c>
      <c r="G16" s="7">
        <f>SUMPRODUCT(($D$5:$D$10&lt;&gt;"")*($F$5:$F$10&lt;&gt;"")*((($C$5:$C$10="Tunez")*($F$5:$F$10))+(($G$5:$G$10="Tunez")*($D$5:$D$10))))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Paises Bajos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Japon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Suecia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Tunez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406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152</v>
      </c>
      <c r="B5" s="7" t="s">
        <v>63</v>
      </c>
      <c r="C5" s="10" t="s">
        <v>161</v>
      </c>
      <c r="D5" s="11"/>
      <c r="E5" s="7" t="s">
        <v>386</v>
      </c>
      <c r="F5" s="11"/>
      <c r="G5" s="8" t="s">
        <v>162</v>
      </c>
      <c r="H5" s="7" t="str">
        <f t="shared" ref="H5:H10" si="0">IF(OR(D5="",F5=""),"",IF(D5&gt;F5,"L",IF(D5&lt;F5,"V","E")))</f>
        <v/>
      </c>
      <c r="I5" s="8" t="s">
        <v>163</v>
      </c>
    </row>
    <row r="6" spans="1:11" x14ac:dyDescent="0.25">
      <c r="A6" s="12" t="s">
        <v>152</v>
      </c>
      <c r="B6" s="12" t="s">
        <v>86</v>
      </c>
      <c r="C6" s="13" t="s">
        <v>173</v>
      </c>
      <c r="D6" s="11"/>
      <c r="E6" s="12" t="s">
        <v>386</v>
      </c>
      <c r="F6" s="11"/>
      <c r="G6" s="14" t="s">
        <v>174</v>
      </c>
      <c r="H6" s="12" t="str">
        <f t="shared" si="0"/>
        <v/>
      </c>
      <c r="I6" s="14" t="s">
        <v>89</v>
      </c>
    </row>
    <row r="7" spans="1:11" x14ac:dyDescent="0.25">
      <c r="A7" s="7" t="s">
        <v>264</v>
      </c>
      <c r="B7" s="7" t="s">
        <v>63</v>
      </c>
      <c r="C7" s="10" t="s">
        <v>161</v>
      </c>
      <c r="D7" s="11"/>
      <c r="E7" s="7" t="s">
        <v>386</v>
      </c>
      <c r="F7" s="11"/>
      <c r="G7" s="8" t="s">
        <v>173</v>
      </c>
      <c r="H7" s="7" t="str">
        <f t="shared" si="0"/>
        <v/>
      </c>
      <c r="I7" s="8" t="s">
        <v>89</v>
      </c>
    </row>
    <row r="8" spans="1:11" x14ac:dyDescent="0.25">
      <c r="A8" s="12" t="s">
        <v>264</v>
      </c>
      <c r="B8" s="12" t="s">
        <v>86</v>
      </c>
      <c r="C8" s="13" t="s">
        <v>174</v>
      </c>
      <c r="D8" s="11"/>
      <c r="E8" s="12" t="s">
        <v>386</v>
      </c>
      <c r="F8" s="11"/>
      <c r="G8" s="14" t="s">
        <v>162</v>
      </c>
      <c r="H8" s="12" t="str">
        <f t="shared" si="0"/>
        <v/>
      </c>
      <c r="I8" s="14" t="s">
        <v>118</v>
      </c>
    </row>
    <row r="9" spans="1:11" x14ac:dyDescent="0.25">
      <c r="A9" s="7" t="s">
        <v>358</v>
      </c>
      <c r="B9" s="7" t="s">
        <v>250</v>
      </c>
      <c r="C9" s="10" t="s">
        <v>162</v>
      </c>
      <c r="D9" s="11"/>
      <c r="E9" s="7" t="s">
        <v>386</v>
      </c>
      <c r="F9" s="11"/>
      <c r="G9" s="8" t="s">
        <v>173</v>
      </c>
      <c r="H9" s="7" t="str">
        <f t="shared" si="0"/>
        <v/>
      </c>
      <c r="I9" s="8" t="s">
        <v>163</v>
      </c>
    </row>
    <row r="10" spans="1:11" x14ac:dyDescent="0.25">
      <c r="A10" s="12" t="s">
        <v>358</v>
      </c>
      <c r="B10" s="12" t="s">
        <v>250</v>
      </c>
      <c r="C10" s="13" t="s">
        <v>174</v>
      </c>
      <c r="D10" s="11"/>
      <c r="E10" s="12" t="s">
        <v>386</v>
      </c>
      <c r="F10" s="11"/>
      <c r="G10" s="14" t="s">
        <v>161</v>
      </c>
      <c r="H10" s="12" t="str">
        <f t="shared" si="0"/>
        <v/>
      </c>
      <c r="I10" s="14" t="s">
        <v>118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161</v>
      </c>
      <c r="B13" s="7">
        <f>SUMPRODUCT((($C$5:$C$10="Belgica")+($G$5:$G$10="Belgica"))*($D$5:$D$10&lt;&gt;"")*($F$5:$F$10&lt;&gt;""))</f>
        <v>0</v>
      </c>
      <c r="C13" s="7">
        <f>SUMPRODUCT(($D$5:$D$10&lt;&gt;"")*($F$5:$F$10&lt;&gt;"")*((($C$5:$C$10="Belgica")*(($D$5:$D$10)&gt;($F$5:$F$10)))+(($G$5:$G$10="Belgica")*(($F$5:$F$10)&gt;($D$5:$D$10)))))</f>
        <v>0</v>
      </c>
      <c r="D13" s="7">
        <f>SUMPRODUCT(($D$5:$D$10&lt;&gt;"")*($F$5:$F$10&lt;&gt;"")*(($C$5:$C$10="Belgica")+($G$5:$G$10="Belgica"))*(($D$5:$D$10)=($F$5:$F$10)))</f>
        <v>0</v>
      </c>
      <c r="E13" s="7">
        <f>SUMPRODUCT(($D$5:$D$10&lt;&gt;"")*($F$5:$F$10&lt;&gt;"")*((($C$5:$C$10="Belgica")*(($D$5:$D$10)&lt;($F$5:$F$10)))+(($G$5:$G$10="Belgica")*(($F$5:$F$10)&lt;($D$5:$D$10)))))</f>
        <v>0</v>
      </c>
      <c r="F13" s="7">
        <f>SUMPRODUCT(($D$5:$D$10&lt;&gt;"")*($F$5:$F$10&lt;&gt;"")*((($C$5:$C$10="Belgica")*($D$5:$D$10))+(($G$5:$G$10="Belgica")*($F$5:$F$10))))</f>
        <v>0</v>
      </c>
      <c r="G13" s="7">
        <f>SUMPRODUCT(($D$5:$D$10&lt;&gt;"")*($F$5:$F$10&lt;&gt;"")*((($C$5:$C$10="Belgica")*($F$5:$F$10))+(($G$5:$G$10="Belgica")*($D$5:$D$10))))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162</v>
      </c>
      <c r="B14" s="7">
        <f>SUMPRODUCT((($C$5:$C$10="Egipto")+($G$5:$G$10="Egipto"))*($D$5:$D$10&lt;&gt;"")*($F$5:$F$10&lt;&gt;""))</f>
        <v>0</v>
      </c>
      <c r="C14" s="7">
        <f>SUMPRODUCT(($D$5:$D$10&lt;&gt;"")*($F$5:$F$10&lt;&gt;"")*((($C$5:$C$10="Egipto")*(($D$5:$D$10)&gt;($F$5:$F$10)))+(($G$5:$G$10="Egipto")*(($F$5:$F$10)&gt;($D$5:$D$10)))))</f>
        <v>0</v>
      </c>
      <c r="D14" s="7">
        <f>SUMPRODUCT(($D$5:$D$10&lt;&gt;"")*($F$5:$F$10&lt;&gt;"")*(($C$5:$C$10="Egipto")+($G$5:$G$10="Egipto"))*(($D$5:$D$10)=($F$5:$F$10)))</f>
        <v>0</v>
      </c>
      <c r="E14" s="7">
        <f>SUMPRODUCT(($D$5:$D$10&lt;&gt;"")*($F$5:$F$10&lt;&gt;"")*((($C$5:$C$10="Egipto")*(($D$5:$D$10)&lt;($F$5:$F$10)))+(($G$5:$G$10="Egipto")*(($F$5:$F$10)&lt;($D$5:$D$10)))))</f>
        <v>0</v>
      </c>
      <c r="F14" s="7">
        <f>SUMPRODUCT(($D$5:$D$10&lt;&gt;"")*($F$5:$F$10&lt;&gt;"")*((($C$5:$C$10="Egipto")*($D$5:$D$10))+(($G$5:$G$10="Egipto")*($F$5:$F$10))))</f>
        <v>0</v>
      </c>
      <c r="G14" s="7">
        <f>SUMPRODUCT(($D$5:$D$10&lt;&gt;"")*($F$5:$F$10&lt;&gt;"")*((($C$5:$C$10="Egipto")*($F$5:$F$10))+(($G$5:$G$10="Egipto")*($D$5:$D$10))))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173</v>
      </c>
      <c r="B15" s="7">
        <f>SUMPRODUCT((($C$5:$C$10="Iran")+($G$5:$G$10="Iran"))*($D$5:$D$10&lt;&gt;"")*($F$5:$F$10&lt;&gt;""))</f>
        <v>0</v>
      </c>
      <c r="C15" s="7">
        <f>SUMPRODUCT(($D$5:$D$10&lt;&gt;"")*($F$5:$F$10&lt;&gt;"")*((($C$5:$C$10="Iran")*(($D$5:$D$10)&gt;($F$5:$F$10)))+(($G$5:$G$10="Iran")*(($F$5:$F$10)&gt;($D$5:$D$10)))))</f>
        <v>0</v>
      </c>
      <c r="D15" s="7">
        <f>SUMPRODUCT(($D$5:$D$10&lt;&gt;"")*($F$5:$F$10&lt;&gt;"")*(($C$5:$C$10="Iran")+($G$5:$G$10="Iran"))*(($D$5:$D$10)=($F$5:$F$10)))</f>
        <v>0</v>
      </c>
      <c r="E15" s="7">
        <f>SUMPRODUCT(($D$5:$D$10&lt;&gt;"")*($F$5:$F$10&lt;&gt;"")*((($C$5:$C$10="Iran")*(($D$5:$D$10)&lt;($F$5:$F$10)))+(($G$5:$G$10="Iran")*(($F$5:$F$10)&lt;($D$5:$D$10)))))</f>
        <v>0</v>
      </c>
      <c r="F15" s="7">
        <f>SUMPRODUCT(($D$5:$D$10&lt;&gt;"")*($F$5:$F$10&lt;&gt;"")*((($C$5:$C$10="Iran")*($D$5:$D$10))+(($G$5:$G$10="Iran")*($F$5:$F$10))))</f>
        <v>0</v>
      </c>
      <c r="G15" s="7">
        <f>SUMPRODUCT(($D$5:$D$10&lt;&gt;"")*($F$5:$F$10&lt;&gt;"")*((($C$5:$C$10="Iran")*($F$5:$F$10))+(($G$5:$G$10="Iran")*($D$5:$D$10))))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174</v>
      </c>
      <c r="B16" s="7">
        <f>SUMPRODUCT((($C$5:$C$10="Nueva Zelanda")+($G$5:$G$10="Nueva Zelanda"))*($D$5:$D$10&lt;&gt;"")*($F$5:$F$10&lt;&gt;""))</f>
        <v>0</v>
      </c>
      <c r="C16" s="7">
        <f>SUMPRODUCT(($D$5:$D$10&lt;&gt;"")*($F$5:$F$10&lt;&gt;"")*((($C$5:$C$10="Nueva Zelanda")*(($D$5:$D$10)&gt;($F$5:$F$10)))+(($G$5:$G$10="Nueva Zelanda")*(($F$5:$F$10)&gt;($D$5:$D$10)))))</f>
        <v>0</v>
      </c>
      <c r="D16" s="7">
        <f>SUMPRODUCT(($D$5:$D$10&lt;&gt;"")*($F$5:$F$10&lt;&gt;"")*(($C$5:$C$10="Nueva Zelanda")+($G$5:$G$10="Nueva Zelanda"))*(($D$5:$D$10)=($F$5:$F$10)))</f>
        <v>0</v>
      </c>
      <c r="E16" s="7">
        <f>SUMPRODUCT(($D$5:$D$10&lt;&gt;"")*($F$5:$F$10&lt;&gt;"")*((($C$5:$C$10="Nueva Zelanda")*(($D$5:$D$10)&lt;($F$5:$F$10)))+(($G$5:$G$10="Nueva Zelanda")*(($F$5:$F$10)&lt;($D$5:$D$10)))))</f>
        <v>0</v>
      </c>
      <c r="F16" s="7">
        <f>SUMPRODUCT(($D$5:$D$10&lt;&gt;"")*($F$5:$F$10&lt;&gt;"")*((($C$5:$C$10="Nueva Zelanda")*($D$5:$D$10))+(($G$5:$G$10="Nueva Zelanda")*($F$5:$F$10))))</f>
        <v>0</v>
      </c>
      <c r="G16" s="7">
        <f>SUMPRODUCT(($D$5:$D$10&lt;&gt;"")*($F$5:$F$10&lt;&gt;"")*((($C$5:$C$10="Nueva Zelanda")*($F$5:$F$10))+(($G$5:$G$10="Nueva Zelanda")*($D$5:$D$10))))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Belgica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Egipto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Iran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Nueva Zelanda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407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152</v>
      </c>
      <c r="B5" s="7" t="s">
        <v>153</v>
      </c>
      <c r="C5" s="10" t="s">
        <v>154</v>
      </c>
      <c r="D5" s="11"/>
      <c r="E5" s="7" t="s">
        <v>386</v>
      </c>
      <c r="F5" s="11"/>
      <c r="G5" s="8" t="s">
        <v>155</v>
      </c>
      <c r="H5" s="7" t="str">
        <f t="shared" ref="H5:H10" si="0">IF(OR(D5="",F5=""),"",IF(D5&gt;F5,"L",IF(D5&lt;F5,"V","E")))</f>
        <v/>
      </c>
      <c r="I5" s="8" t="s">
        <v>156</v>
      </c>
    </row>
    <row r="6" spans="1:11" x14ac:dyDescent="0.25">
      <c r="A6" s="12" t="s">
        <v>152</v>
      </c>
      <c r="B6" s="12" t="s">
        <v>101</v>
      </c>
      <c r="C6" s="13" t="s">
        <v>167</v>
      </c>
      <c r="D6" s="11"/>
      <c r="E6" s="12" t="s">
        <v>386</v>
      </c>
      <c r="F6" s="11"/>
      <c r="G6" s="14" t="s">
        <v>168</v>
      </c>
      <c r="H6" s="12" t="str">
        <f t="shared" si="0"/>
        <v/>
      </c>
      <c r="I6" s="14" t="s">
        <v>169</v>
      </c>
    </row>
    <row r="7" spans="1:11" x14ac:dyDescent="0.25">
      <c r="A7" s="7" t="s">
        <v>264</v>
      </c>
      <c r="B7" s="7" t="s">
        <v>153</v>
      </c>
      <c r="C7" s="10" t="s">
        <v>154</v>
      </c>
      <c r="D7" s="11"/>
      <c r="E7" s="7" t="s">
        <v>386</v>
      </c>
      <c r="F7" s="11"/>
      <c r="G7" s="8" t="s">
        <v>167</v>
      </c>
      <c r="H7" s="7" t="str">
        <f t="shared" si="0"/>
        <v/>
      </c>
      <c r="I7" s="8" t="s">
        <v>156</v>
      </c>
    </row>
    <row r="8" spans="1:11" x14ac:dyDescent="0.25">
      <c r="A8" s="12" t="s">
        <v>264</v>
      </c>
      <c r="B8" s="12" t="s">
        <v>101</v>
      </c>
      <c r="C8" s="13" t="s">
        <v>168</v>
      </c>
      <c r="D8" s="11"/>
      <c r="E8" s="12" t="s">
        <v>386</v>
      </c>
      <c r="F8" s="11"/>
      <c r="G8" s="14" t="s">
        <v>155</v>
      </c>
      <c r="H8" s="12" t="str">
        <f t="shared" si="0"/>
        <v/>
      </c>
      <c r="I8" s="14" t="s">
        <v>169</v>
      </c>
    </row>
    <row r="9" spans="1:11" x14ac:dyDescent="0.25">
      <c r="A9" s="7" t="s">
        <v>345</v>
      </c>
      <c r="B9" s="7" t="s">
        <v>260</v>
      </c>
      <c r="C9" s="10" t="s">
        <v>155</v>
      </c>
      <c r="D9" s="11"/>
      <c r="E9" s="7" t="s">
        <v>386</v>
      </c>
      <c r="F9" s="11"/>
      <c r="G9" s="8" t="s">
        <v>167</v>
      </c>
      <c r="H9" s="7" t="str">
        <f t="shared" si="0"/>
        <v/>
      </c>
      <c r="I9" s="8" t="s">
        <v>126</v>
      </c>
    </row>
    <row r="10" spans="1:11" x14ac:dyDescent="0.25">
      <c r="A10" s="12" t="s">
        <v>345</v>
      </c>
      <c r="B10" s="12" t="s">
        <v>260</v>
      </c>
      <c r="C10" s="13" t="s">
        <v>168</v>
      </c>
      <c r="D10" s="11"/>
      <c r="E10" s="12" t="s">
        <v>386</v>
      </c>
      <c r="F10" s="11"/>
      <c r="G10" s="14" t="s">
        <v>154</v>
      </c>
      <c r="H10" s="12" t="str">
        <f t="shared" si="0"/>
        <v/>
      </c>
      <c r="I10" s="14" t="s">
        <v>73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154</v>
      </c>
      <c r="B13" s="7">
        <f>SUMPRODUCT((($C$5:$C$10="España")+($G$5:$G$10="España"))*($D$5:$D$10&lt;&gt;"")*($F$5:$F$10&lt;&gt;""))</f>
        <v>0</v>
      </c>
      <c r="C13" s="7">
        <f>SUMPRODUCT(($D$5:$D$10&lt;&gt;"")*($F$5:$F$10&lt;&gt;"")*((($C$5:$C$10="España")*(($D$5:$D$10)&gt;($F$5:$F$10)))+(($G$5:$G$10="España")*(($F$5:$F$10)&gt;($D$5:$D$10)))))</f>
        <v>0</v>
      </c>
      <c r="D13" s="7">
        <f>SUMPRODUCT(($D$5:$D$10&lt;&gt;"")*($F$5:$F$10&lt;&gt;"")*(($C$5:$C$10="España")+($G$5:$G$10="España"))*(($D$5:$D$10)=($F$5:$F$10)))</f>
        <v>0</v>
      </c>
      <c r="E13" s="7">
        <f>SUMPRODUCT(($D$5:$D$10&lt;&gt;"")*($F$5:$F$10&lt;&gt;"")*((($C$5:$C$10="España")*(($D$5:$D$10)&lt;($F$5:$F$10)))+(($G$5:$G$10="España")*(($F$5:$F$10)&lt;($D$5:$D$10)))))</f>
        <v>0</v>
      </c>
      <c r="F13" s="7">
        <f>SUMPRODUCT(($D$5:$D$10&lt;&gt;"")*($F$5:$F$10&lt;&gt;"")*((($C$5:$C$10="España")*($D$5:$D$10))+(($G$5:$G$10="España")*($F$5:$F$10))))</f>
        <v>0</v>
      </c>
      <c r="G13" s="7">
        <f>SUMPRODUCT(($D$5:$D$10&lt;&gt;"")*($F$5:$F$10&lt;&gt;"")*((($C$5:$C$10="España")*($F$5:$F$10))+(($G$5:$G$10="España")*($D$5:$D$10))))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155</v>
      </c>
      <c r="B14" s="7">
        <f>SUMPRODUCT((($C$5:$C$10="Cabo Verde")+($G$5:$G$10="Cabo Verde"))*($D$5:$D$10&lt;&gt;"")*($F$5:$F$10&lt;&gt;""))</f>
        <v>0</v>
      </c>
      <c r="C14" s="7">
        <f>SUMPRODUCT(($D$5:$D$10&lt;&gt;"")*($F$5:$F$10&lt;&gt;"")*((($C$5:$C$10="Cabo Verde")*(($D$5:$D$10)&gt;($F$5:$F$10)))+(($G$5:$G$10="Cabo Verde")*(($F$5:$F$10)&gt;($D$5:$D$10)))))</f>
        <v>0</v>
      </c>
      <c r="D14" s="7">
        <f>SUMPRODUCT(($D$5:$D$10&lt;&gt;"")*($F$5:$F$10&lt;&gt;"")*(($C$5:$C$10="Cabo Verde")+($G$5:$G$10="Cabo Verde"))*(($D$5:$D$10)=($F$5:$F$10)))</f>
        <v>0</v>
      </c>
      <c r="E14" s="7">
        <f>SUMPRODUCT(($D$5:$D$10&lt;&gt;"")*($F$5:$F$10&lt;&gt;"")*((($C$5:$C$10="Cabo Verde")*(($D$5:$D$10)&lt;($F$5:$F$10)))+(($G$5:$G$10="Cabo Verde")*(($F$5:$F$10)&lt;($D$5:$D$10)))))</f>
        <v>0</v>
      </c>
      <c r="F14" s="7">
        <f>SUMPRODUCT(($D$5:$D$10&lt;&gt;"")*($F$5:$F$10&lt;&gt;"")*((($C$5:$C$10="Cabo Verde")*($D$5:$D$10))+(($G$5:$G$10="Cabo Verde")*($F$5:$F$10))))</f>
        <v>0</v>
      </c>
      <c r="G14" s="7">
        <f>SUMPRODUCT(($D$5:$D$10&lt;&gt;"")*($F$5:$F$10&lt;&gt;"")*((($C$5:$C$10="Cabo Verde")*($F$5:$F$10))+(($G$5:$G$10="Cabo Verde")*($D$5:$D$10))))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167</v>
      </c>
      <c r="B15" s="7">
        <f>SUMPRODUCT((($C$5:$C$10="Arabia Saudita")+($G$5:$G$10="Arabia Saudita"))*($D$5:$D$10&lt;&gt;"")*($F$5:$F$10&lt;&gt;""))</f>
        <v>0</v>
      </c>
      <c r="C15" s="7">
        <f>SUMPRODUCT(($D$5:$D$10&lt;&gt;"")*($F$5:$F$10&lt;&gt;"")*((($C$5:$C$10="Arabia Saudita")*(($D$5:$D$10)&gt;($F$5:$F$10)))+(($G$5:$G$10="Arabia Saudita")*(($F$5:$F$10)&gt;($D$5:$D$10)))))</f>
        <v>0</v>
      </c>
      <c r="D15" s="7">
        <f>SUMPRODUCT(($D$5:$D$10&lt;&gt;"")*($F$5:$F$10&lt;&gt;"")*(($C$5:$C$10="Arabia Saudita")+($G$5:$G$10="Arabia Saudita"))*(($D$5:$D$10)=($F$5:$F$10)))</f>
        <v>0</v>
      </c>
      <c r="E15" s="7">
        <f>SUMPRODUCT(($D$5:$D$10&lt;&gt;"")*($F$5:$F$10&lt;&gt;"")*((($C$5:$C$10="Arabia Saudita")*(($D$5:$D$10)&lt;($F$5:$F$10)))+(($G$5:$G$10="Arabia Saudita")*(($F$5:$F$10)&lt;($D$5:$D$10)))))</f>
        <v>0</v>
      </c>
      <c r="F15" s="7">
        <f>SUMPRODUCT(($D$5:$D$10&lt;&gt;"")*($F$5:$F$10&lt;&gt;"")*((($C$5:$C$10="Arabia Saudita")*($D$5:$D$10))+(($G$5:$G$10="Arabia Saudita")*($F$5:$F$10))))</f>
        <v>0</v>
      </c>
      <c r="G15" s="7">
        <f>SUMPRODUCT(($D$5:$D$10&lt;&gt;"")*($F$5:$F$10&lt;&gt;"")*((($C$5:$C$10="Arabia Saudita")*($F$5:$F$10))+(($G$5:$G$10="Arabia Saudita")*($D$5:$D$10))))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168</v>
      </c>
      <c r="B16" s="7">
        <f>SUMPRODUCT((($C$5:$C$10="Uruguay")+($G$5:$G$10="Uruguay"))*($D$5:$D$10&lt;&gt;"")*($F$5:$F$10&lt;&gt;""))</f>
        <v>0</v>
      </c>
      <c r="C16" s="7">
        <f>SUMPRODUCT(($D$5:$D$10&lt;&gt;"")*($F$5:$F$10&lt;&gt;"")*((($C$5:$C$10="Uruguay")*(($D$5:$D$10)&gt;($F$5:$F$10)))+(($G$5:$G$10="Uruguay")*(($F$5:$F$10)&gt;($D$5:$D$10)))))</f>
        <v>0</v>
      </c>
      <c r="D16" s="7">
        <f>SUMPRODUCT(($D$5:$D$10&lt;&gt;"")*($F$5:$F$10&lt;&gt;"")*(($C$5:$C$10="Uruguay")+($G$5:$G$10="Uruguay"))*(($D$5:$D$10)=($F$5:$F$10)))</f>
        <v>0</v>
      </c>
      <c r="E16" s="7">
        <f>SUMPRODUCT(($D$5:$D$10&lt;&gt;"")*($F$5:$F$10&lt;&gt;"")*((($C$5:$C$10="Uruguay")*(($D$5:$D$10)&lt;($F$5:$F$10)))+(($G$5:$G$10="Uruguay")*(($F$5:$F$10)&lt;($D$5:$D$10)))))</f>
        <v>0</v>
      </c>
      <c r="F16" s="7">
        <f>SUMPRODUCT(($D$5:$D$10&lt;&gt;"")*($F$5:$F$10&lt;&gt;"")*((($C$5:$C$10="Uruguay")*($D$5:$D$10))+(($G$5:$G$10="Uruguay")*($F$5:$F$10))))</f>
        <v>0</v>
      </c>
      <c r="G16" s="7">
        <f>SUMPRODUCT(($D$5:$D$10&lt;&gt;"")*($F$5:$F$10&lt;&gt;"")*((($C$5:$C$10="Uruguay")*($F$5:$F$10))+(($G$5:$G$10="Uruguay")*($D$5:$D$10))))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España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Cabo Verde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Arabia Saudita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Uruguay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408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179</v>
      </c>
      <c r="B5" s="7" t="s">
        <v>63</v>
      </c>
      <c r="C5" s="10" t="s">
        <v>180</v>
      </c>
      <c r="D5" s="11"/>
      <c r="E5" s="7" t="s">
        <v>386</v>
      </c>
      <c r="F5" s="11"/>
      <c r="G5" s="8" t="s">
        <v>181</v>
      </c>
      <c r="H5" s="7" t="str">
        <f t="shared" ref="H5:H10" si="0">IF(OR(D5="",F5=""),"",IF(D5&gt;F5,"L",IF(D5&lt;F5,"V","E")))</f>
        <v/>
      </c>
      <c r="I5" s="8" t="s">
        <v>104</v>
      </c>
    </row>
    <row r="6" spans="1:11" x14ac:dyDescent="0.25">
      <c r="A6" s="12" t="s">
        <v>179</v>
      </c>
      <c r="B6" s="12" t="s">
        <v>101</v>
      </c>
      <c r="C6" s="13" t="s">
        <v>185</v>
      </c>
      <c r="D6" s="11"/>
      <c r="E6" s="12" t="s">
        <v>386</v>
      </c>
      <c r="F6" s="11"/>
      <c r="G6" s="14" t="s">
        <v>186</v>
      </c>
      <c r="H6" s="12" t="str">
        <f t="shared" si="0"/>
        <v/>
      </c>
      <c r="I6" s="14" t="s">
        <v>110</v>
      </c>
    </row>
    <row r="7" spans="1:11" x14ac:dyDescent="0.25">
      <c r="A7" s="7" t="s">
        <v>280</v>
      </c>
      <c r="B7" s="7" t="s">
        <v>284</v>
      </c>
      <c r="C7" s="10" t="s">
        <v>180</v>
      </c>
      <c r="D7" s="11"/>
      <c r="E7" s="7" t="s">
        <v>386</v>
      </c>
      <c r="F7" s="11"/>
      <c r="G7" s="8" t="s">
        <v>185</v>
      </c>
      <c r="H7" s="7" t="str">
        <f t="shared" si="0"/>
        <v/>
      </c>
      <c r="I7" s="8" t="s">
        <v>141</v>
      </c>
    </row>
    <row r="8" spans="1:11" x14ac:dyDescent="0.25">
      <c r="A8" s="12" t="s">
        <v>280</v>
      </c>
      <c r="B8" s="12" t="s">
        <v>260</v>
      </c>
      <c r="C8" s="13" t="s">
        <v>186</v>
      </c>
      <c r="D8" s="11"/>
      <c r="E8" s="12" t="s">
        <v>386</v>
      </c>
      <c r="F8" s="11"/>
      <c r="G8" s="14" t="s">
        <v>181</v>
      </c>
      <c r="H8" s="12" t="str">
        <f t="shared" si="0"/>
        <v/>
      </c>
      <c r="I8" s="14" t="s">
        <v>104</v>
      </c>
    </row>
    <row r="9" spans="1:11" x14ac:dyDescent="0.25">
      <c r="A9" s="7" t="s">
        <v>345</v>
      </c>
      <c r="B9" s="7" t="s">
        <v>63</v>
      </c>
      <c r="C9" s="10" t="s">
        <v>186</v>
      </c>
      <c r="D9" s="11"/>
      <c r="E9" s="7" t="s">
        <v>386</v>
      </c>
      <c r="F9" s="11"/>
      <c r="G9" s="8" t="s">
        <v>180</v>
      </c>
      <c r="H9" s="7" t="str">
        <f t="shared" si="0"/>
        <v/>
      </c>
      <c r="I9" s="8" t="s">
        <v>110</v>
      </c>
    </row>
    <row r="10" spans="1:11" x14ac:dyDescent="0.25">
      <c r="A10" s="12" t="s">
        <v>345</v>
      </c>
      <c r="B10" s="12" t="s">
        <v>63</v>
      </c>
      <c r="C10" s="13" t="s">
        <v>181</v>
      </c>
      <c r="D10" s="11"/>
      <c r="E10" s="12" t="s">
        <v>386</v>
      </c>
      <c r="F10" s="11"/>
      <c r="G10" s="14" t="s">
        <v>185</v>
      </c>
      <c r="H10" s="12" t="str">
        <f t="shared" si="0"/>
        <v/>
      </c>
      <c r="I10" s="14" t="s">
        <v>81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180</v>
      </c>
      <c r="B13" s="7">
        <f>SUMPRODUCT((($C$5:$C$10="Francia")+($G$5:$G$10="Francia"))*($D$5:$D$10&lt;&gt;"")*($F$5:$F$10&lt;&gt;""))</f>
        <v>0</v>
      </c>
      <c r="C13" s="7">
        <f>SUMPRODUCT(($D$5:$D$10&lt;&gt;"")*($F$5:$F$10&lt;&gt;"")*((($C$5:$C$10="Francia")*(($D$5:$D$10)&gt;($F$5:$F$10)))+(($G$5:$G$10="Francia")*(($F$5:$F$10)&gt;($D$5:$D$10)))))</f>
        <v>0</v>
      </c>
      <c r="D13" s="7">
        <f>SUMPRODUCT(($D$5:$D$10&lt;&gt;"")*($F$5:$F$10&lt;&gt;"")*(($C$5:$C$10="Francia")+($G$5:$G$10="Francia"))*(($D$5:$D$10)=($F$5:$F$10)))</f>
        <v>0</v>
      </c>
      <c r="E13" s="7">
        <f>SUMPRODUCT(($D$5:$D$10&lt;&gt;"")*($F$5:$F$10&lt;&gt;"")*((($C$5:$C$10="Francia")*(($D$5:$D$10)&lt;($F$5:$F$10)))+(($G$5:$G$10="Francia")*(($F$5:$F$10)&lt;($D$5:$D$10)))))</f>
        <v>0</v>
      </c>
      <c r="F13" s="7">
        <f>SUMPRODUCT(($D$5:$D$10&lt;&gt;"")*($F$5:$F$10&lt;&gt;"")*((($C$5:$C$10="Francia")*($D$5:$D$10))+(($G$5:$G$10="Francia")*($F$5:$F$10))))</f>
        <v>0</v>
      </c>
      <c r="G13" s="7">
        <f>SUMPRODUCT(($D$5:$D$10&lt;&gt;"")*($F$5:$F$10&lt;&gt;"")*((($C$5:$C$10="Francia")*($F$5:$F$10))+(($G$5:$G$10="Francia")*($D$5:$D$10))))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181</v>
      </c>
      <c r="B14" s="7">
        <f>SUMPRODUCT((($C$5:$C$10="Senegal")+($G$5:$G$10="Senegal"))*($D$5:$D$10&lt;&gt;"")*($F$5:$F$10&lt;&gt;""))</f>
        <v>0</v>
      </c>
      <c r="C14" s="7">
        <f>SUMPRODUCT(($D$5:$D$10&lt;&gt;"")*($F$5:$F$10&lt;&gt;"")*((($C$5:$C$10="Senegal")*(($D$5:$D$10)&gt;($F$5:$F$10)))+(($G$5:$G$10="Senegal")*(($F$5:$F$10)&gt;($D$5:$D$10)))))</f>
        <v>0</v>
      </c>
      <c r="D14" s="7">
        <f>SUMPRODUCT(($D$5:$D$10&lt;&gt;"")*($F$5:$F$10&lt;&gt;"")*(($C$5:$C$10="Senegal")+($G$5:$G$10="Senegal"))*(($D$5:$D$10)=($F$5:$F$10)))</f>
        <v>0</v>
      </c>
      <c r="E14" s="7">
        <f>SUMPRODUCT(($D$5:$D$10&lt;&gt;"")*($F$5:$F$10&lt;&gt;"")*((($C$5:$C$10="Senegal")*(($D$5:$D$10)&lt;($F$5:$F$10)))+(($G$5:$G$10="Senegal")*(($F$5:$F$10)&lt;($D$5:$D$10)))))</f>
        <v>0</v>
      </c>
      <c r="F14" s="7">
        <f>SUMPRODUCT(($D$5:$D$10&lt;&gt;"")*($F$5:$F$10&lt;&gt;"")*((($C$5:$C$10="Senegal")*($D$5:$D$10))+(($G$5:$G$10="Senegal")*($F$5:$F$10))))</f>
        <v>0</v>
      </c>
      <c r="G14" s="7">
        <f>SUMPRODUCT(($D$5:$D$10&lt;&gt;"")*($F$5:$F$10&lt;&gt;"")*((($C$5:$C$10="Senegal")*($F$5:$F$10))+(($G$5:$G$10="Senegal")*($D$5:$D$10))))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185</v>
      </c>
      <c r="B15" s="7">
        <f>SUMPRODUCT((($C$5:$C$10="Irak")+($G$5:$G$10="Irak"))*($D$5:$D$10&lt;&gt;"")*($F$5:$F$10&lt;&gt;""))</f>
        <v>0</v>
      </c>
      <c r="C15" s="7">
        <f>SUMPRODUCT(($D$5:$D$10&lt;&gt;"")*($F$5:$F$10&lt;&gt;"")*((($C$5:$C$10="Irak")*(($D$5:$D$10)&gt;($F$5:$F$10)))+(($G$5:$G$10="Irak")*(($F$5:$F$10)&gt;($D$5:$D$10)))))</f>
        <v>0</v>
      </c>
      <c r="D15" s="7">
        <f>SUMPRODUCT(($D$5:$D$10&lt;&gt;"")*($F$5:$F$10&lt;&gt;"")*(($C$5:$C$10="Irak")+($G$5:$G$10="Irak"))*(($D$5:$D$10)=($F$5:$F$10)))</f>
        <v>0</v>
      </c>
      <c r="E15" s="7">
        <f>SUMPRODUCT(($D$5:$D$10&lt;&gt;"")*($F$5:$F$10&lt;&gt;"")*((($C$5:$C$10="Irak")*(($D$5:$D$10)&lt;($F$5:$F$10)))+(($G$5:$G$10="Irak")*(($F$5:$F$10)&lt;($D$5:$D$10)))))</f>
        <v>0</v>
      </c>
      <c r="F15" s="7">
        <f>SUMPRODUCT(($D$5:$D$10&lt;&gt;"")*($F$5:$F$10&lt;&gt;"")*((($C$5:$C$10="Irak")*($D$5:$D$10))+(($G$5:$G$10="Irak")*($F$5:$F$10))))</f>
        <v>0</v>
      </c>
      <c r="G15" s="7">
        <f>SUMPRODUCT(($D$5:$D$10&lt;&gt;"")*($F$5:$F$10&lt;&gt;"")*((($C$5:$C$10="Irak")*($F$5:$F$10))+(($G$5:$G$10="Irak")*($D$5:$D$10))))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186</v>
      </c>
      <c r="B16" s="7">
        <f>SUMPRODUCT((($C$5:$C$10="Noruega")+($G$5:$G$10="Noruega"))*($D$5:$D$10&lt;&gt;"")*($F$5:$F$10&lt;&gt;""))</f>
        <v>0</v>
      </c>
      <c r="C16" s="7">
        <f>SUMPRODUCT(($D$5:$D$10&lt;&gt;"")*($F$5:$F$10&lt;&gt;"")*((($C$5:$C$10="Noruega")*(($D$5:$D$10)&gt;($F$5:$F$10)))+(($G$5:$G$10="Noruega")*(($F$5:$F$10)&gt;($D$5:$D$10)))))</f>
        <v>0</v>
      </c>
      <c r="D16" s="7">
        <f>SUMPRODUCT(($D$5:$D$10&lt;&gt;"")*($F$5:$F$10&lt;&gt;"")*(($C$5:$C$10="Noruega")+($G$5:$G$10="Noruega"))*(($D$5:$D$10)=($F$5:$F$10)))</f>
        <v>0</v>
      </c>
      <c r="E16" s="7">
        <f>SUMPRODUCT(($D$5:$D$10&lt;&gt;"")*($F$5:$F$10&lt;&gt;"")*((($C$5:$C$10="Noruega")*(($D$5:$D$10)&lt;($F$5:$F$10)))+(($G$5:$G$10="Noruega")*(($F$5:$F$10)&lt;($D$5:$D$10)))))</f>
        <v>0</v>
      </c>
      <c r="F16" s="7">
        <f>SUMPRODUCT(($D$5:$D$10&lt;&gt;"")*($F$5:$F$10&lt;&gt;"")*((($C$5:$C$10="Noruega")*($D$5:$D$10))+(($G$5:$G$10="Noruega")*($F$5:$F$10))))</f>
        <v>0</v>
      </c>
      <c r="G16" s="7">
        <f>SUMPRODUCT(($D$5:$D$10&lt;&gt;"")*($F$5:$F$10&lt;&gt;"")*((($C$5:$C$10="Noruega")*($F$5:$F$10))+(($G$5:$G$10="Noruega")*($D$5:$D$10))))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Francia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Senegal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Irak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Noruega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409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179</v>
      </c>
      <c r="B5" s="7" t="s">
        <v>86</v>
      </c>
      <c r="C5" s="10" t="s">
        <v>191</v>
      </c>
      <c r="D5" s="11"/>
      <c r="E5" s="7" t="s">
        <v>386</v>
      </c>
      <c r="F5" s="11"/>
      <c r="G5" s="8" t="s">
        <v>192</v>
      </c>
      <c r="H5" s="7" t="str">
        <f t="shared" ref="H5:H10" si="0">IF(OR(D5="",F5=""),"",IF(D5&gt;F5,"L",IF(D5&lt;F5,"V","E")))</f>
        <v/>
      </c>
      <c r="I5" s="8" t="s">
        <v>193</v>
      </c>
    </row>
    <row r="6" spans="1:11" x14ac:dyDescent="0.25">
      <c r="A6" s="12" t="s">
        <v>197</v>
      </c>
      <c r="B6" s="12" t="s">
        <v>115</v>
      </c>
      <c r="C6" s="13" t="s">
        <v>198</v>
      </c>
      <c r="D6" s="11"/>
      <c r="E6" s="12" t="s">
        <v>386</v>
      </c>
      <c r="F6" s="11"/>
      <c r="G6" s="14" t="s">
        <v>199</v>
      </c>
      <c r="H6" s="12" t="str">
        <f t="shared" si="0"/>
        <v/>
      </c>
      <c r="I6" s="14" t="s">
        <v>96</v>
      </c>
    </row>
    <row r="7" spans="1:11" x14ac:dyDescent="0.25">
      <c r="A7" s="7" t="s">
        <v>280</v>
      </c>
      <c r="B7" s="7" t="s">
        <v>123</v>
      </c>
      <c r="C7" s="10" t="s">
        <v>191</v>
      </c>
      <c r="D7" s="11"/>
      <c r="E7" s="7" t="s">
        <v>386</v>
      </c>
      <c r="F7" s="11"/>
      <c r="G7" s="8" t="s">
        <v>198</v>
      </c>
      <c r="H7" s="7" t="str">
        <f t="shared" si="0"/>
        <v/>
      </c>
      <c r="I7" s="8" t="s">
        <v>134</v>
      </c>
    </row>
    <row r="8" spans="1:11" x14ac:dyDescent="0.25">
      <c r="A8" s="12" t="s">
        <v>291</v>
      </c>
      <c r="B8" s="12" t="s">
        <v>250</v>
      </c>
      <c r="C8" s="13" t="s">
        <v>199</v>
      </c>
      <c r="D8" s="11"/>
      <c r="E8" s="12" t="s">
        <v>386</v>
      </c>
      <c r="F8" s="11"/>
      <c r="G8" s="14" t="s">
        <v>192</v>
      </c>
      <c r="H8" s="12" t="str">
        <f t="shared" si="0"/>
        <v/>
      </c>
      <c r="I8" s="14" t="s">
        <v>96</v>
      </c>
    </row>
    <row r="9" spans="1:11" x14ac:dyDescent="0.25">
      <c r="A9" s="7" t="s">
        <v>358</v>
      </c>
      <c r="B9" s="7" t="s">
        <v>70</v>
      </c>
      <c r="C9" s="10" t="s">
        <v>199</v>
      </c>
      <c r="D9" s="11"/>
      <c r="E9" s="7" t="s">
        <v>386</v>
      </c>
      <c r="F9" s="11"/>
      <c r="G9" s="8" t="s">
        <v>191</v>
      </c>
      <c r="H9" s="7" t="str">
        <f t="shared" si="0"/>
        <v/>
      </c>
      <c r="I9" s="8" t="s">
        <v>134</v>
      </c>
    </row>
    <row r="10" spans="1:11" x14ac:dyDescent="0.25">
      <c r="A10" s="12" t="s">
        <v>358</v>
      </c>
      <c r="B10" s="12" t="s">
        <v>70</v>
      </c>
      <c r="C10" s="13" t="s">
        <v>192</v>
      </c>
      <c r="D10" s="11"/>
      <c r="E10" s="12" t="s">
        <v>386</v>
      </c>
      <c r="F10" s="11"/>
      <c r="G10" s="14" t="s">
        <v>198</v>
      </c>
      <c r="H10" s="12" t="str">
        <f t="shared" si="0"/>
        <v/>
      </c>
      <c r="I10" s="14" t="s">
        <v>193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191</v>
      </c>
      <c r="B13" s="7">
        <f>SUMPRODUCT((($C$5:$C$10="Argentina")+($G$5:$G$10="Argentina"))*($D$5:$D$10&lt;&gt;"")*($F$5:$F$10&lt;&gt;""))</f>
        <v>0</v>
      </c>
      <c r="C13" s="7">
        <f>SUMPRODUCT(($D$5:$D$10&lt;&gt;"")*($F$5:$F$10&lt;&gt;"")*((($C$5:$C$10="Argentina")*(($D$5:$D$10)&gt;($F$5:$F$10)))+(($G$5:$G$10="Argentina")*(($F$5:$F$10)&gt;($D$5:$D$10)))))</f>
        <v>0</v>
      </c>
      <c r="D13" s="7">
        <f>SUMPRODUCT(($D$5:$D$10&lt;&gt;"")*($F$5:$F$10&lt;&gt;"")*(($C$5:$C$10="Argentina")+($G$5:$G$10="Argentina"))*(($D$5:$D$10)=($F$5:$F$10)))</f>
        <v>0</v>
      </c>
      <c r="E13" s="7">
        <f>SUMPRODUCT(($D$5:$D$10&lt;&gt;"")*($F$5:$F$10&lt;&gt;"")*((($C$5:$C$10="Argentina")*(($D$5:$D$10)&lt;($F$5:$F$10)))+(($G$5:$G$10="Argentina")*(($F$5:$F$10)&lt;($D$5:$D$10)))))</f>
        <v>0</v>
      </c>
      <c r="F13" s="7">
        <f>SUMPRODUCT(($D$5:$D$10&lt;&gt;"")*($F$5:$F$10&lt;&gt;"")*((($C$5:$C$10="Argentina")*($D$5:$D$10))+(($G$5:$G$10="Argentina")*($F$5:$F$10))))</f>
        <v>0</v>
      </c>
      <c r="G13" s="7">
        <f>SUMPRODUCT(($D$5:$D$10&lt;&gt;"")*($F$5:$F$10&lt;&gt;"")*((($C$5:$C$10="Argentina")*($F$5:$F$10))+(($G$5:$G$10="Argentina")*($D$5:$D$10))))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192</v>
      </c>
      <c r="B14" s="7">
        <f>SUMPRODUCT((($C$5:$C$10="Argelia")+($G$5:$G$10="Argelia"))*($D$5:$D$10&lt;&gt;"")*($F$5:$F$10&lt;&gt;""))</f>
        <v>0</v>
      </c>
      <c r="C14" s="7">
        <f>SUMPRODUCT(($D$5:$D$10&lt;&gt;"")*($F$5:$F$10&lt;&gt;"")*((($C$5:$C$10="Argelia")*(($D$5:$D$10)&gt;($F$5:$F$10)))+(($G$5:$G$10="Argelia")*(($F$5:$F$10)&gt;($D$5:$D$10)))))</f>
        <v>0</v>
      </c>
      <c r="D14" s="7">
        <f>SUMPRODUCT(($D$5:$D$10&lt;&gt;"")*($F$5:$F$10&lt;&gt;"")*(($C$5:$C$10="Argelia")+($G$5:$G$10="Argelia"))*(($D$5:$D$10)=($F$5:$F$10)))</f>
        <v>0</v>
      </c>
      <c r="E14" s="7">
        <f>SUMPRODUCT(($D$5:$D$10&lt;&gt;"")*($F$5:$F$10&lt;&gt;"")*((($C$5:$C$10="Argelia")*(($D$5:$D$10)&lt;($F$5:$F$10)))+(($G$5:$G$10="Argelia")*(($F$5:$F$10)&lt;($D$5:$D$10)))))</f>
        <v>0</v>
      </c>
      <c r="F14" s="7">
        <f>SUMPRODUCT(($D$5:$D$10&lt;&gt;"")*($F$5:$F$10&lt;&gt;"")*((($C$5:$C$10="Argelia")*($D$5:$D$10))+(($G$5:$G$10="Argelia")*($F$5:$F$10))))</f>
        <v>0</v>
      </c>
      <c r="G14" s="7">
        <f>SUMPRODUCT(($D$5:$D$10&lt;&gt;"")*($F$5:$F$10&lt;&gt;"")*((($C$5:$C$10="Argelia")*($F$5:$F$10))+(($G$5:$G$10="Argelia")*($D$5:$D$10))))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198</v>
      </c>
      <c r="B15" s="7">
        <f>SUMPRODUCT((($C$5:$C$10="Austria")+($G$5:$G$10="Austria"))*($D$5:$D$10&lt;&gt;"")*($F$5:$F$10&lt;&gt;""))</f>
        <v>0</v>
      </c>
      <c r="C15" s="7">
        <f>SUMPRODUCT(($D$5:$D$10&lt;&gt;"")*($F$5:$F$10&lt;&gt;"")*((($C$5:$C$10="Austria")*(($D$5:$D$10)&gt;($F$5:$F$10)))+(($G$5:$G$10="Austria")*(($F$5:$F$10)&gt;($D$5:$D$10)))))</f>
        <v>0</v>
      </c>
      <c r="D15" s="7">
        <f>SUMPRODUCT(($D$5:$D$10&lt;&gt;"")*($F$5:$F$10&lt;&gt;"")*(($C$5:$C$10="Austria")+($G$5:$G$10="Austria"))*(($D$5:$D$10)=($F$5:$F$10)))</f>
        <v>0</v>
      </c>
      <c r="E15" s="7">
        <f>SUMPRODUCT(($D$5:$D$10&lt;&gt;"")*($F$5:$F$10&lt;&gt;"")*((($C$5:$C$10="Austria")*(($D$5:$D$10)&lt;($F$5:$F$10)))+(($G$5:$G$10="Austria")*(($F$5:$F$10)&lt;($D$5:$D$10)))))</f>
        <v>0</v>
      </c>
      <c r="F15" s="7">
        <f>SUMPRODUCT(($D$5:$D$10&lt;&gt;"")*($F$5:$F$10&lt;&gt;"")*((($C$5:$C$10="Austria")*($D$5:$D$10))+(($G$5:$G$10="Austria")*($F$5:$F$10))))</f>
        <v>0</v>
      </c>
      <c r="G15" s="7">
        <f>SUMPRODUCT(($D$5:$D$10&lt;&gt;"")*($F$5:$F$10&lt;&gt;"")*((($C$5:$C$10="Austria")*($F$5:$F$10))+(($G$5:$G$10="Austria")*($D$5:$D$10))))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199</v>
      </c>
      <c r="B16" s="7">
        <f>SUMPRODUCT((($C$5:$C$10="Jordania")+($G$5:$G$10="Jordania"))*($D$5:$D$10&lt;&gt;"")*($F$5:$F$10&lt;&gt;""))</f>
        <v>0</v>
      </c>
      <c r="C16" s="7">
        <f>SUMPRODUCT(($D$5:$D$10&lt;&gt;"")*($F$5:$F$10&lt;&gt;"")*((($C$5:$C$10="Jordania")*(($D$5:$D$10)&gt;($F$5:$F$10)))+(($G$5:$G$10="Jordania")*(($F$5:$F$10)&gt;($D$5:$D$10)))))</f>
        <v>0</v>
      </c>
      <c r="D16" s="7">
        <f>SUMPRODUCT(($D$5:$D$10&lt;&gt;"")*($F$5:$F$10&lt;&gt;"")*(($C$5:$C$10="Jordania")+($G$5:$G$10="Jordania"))*(($D$5:$D$10)=($F$5:$F$10)))</f>
        <v>0</v>
      </c>
      <c r="E16" s="7">
        <f>SUMPRODUCT(($D$5:$D$10&lt;&gt;"")*($F$5:$F$10&lt;&gt;"")*((($C$5:$C$10="Jordania")*(($D$5:$D$10)&lt;($F$5:$F$10)))+(($G$5:$G$10="Jordania")*(($F$5:$F$10)&lt;($D$5:$D$10)))))</f>
        <v>0</v>
      </c>
      <c r="F16" s="7">
        <f>SUMPRODUCT(($D$5:$D$10&lt;&gt;"")*($F$5:$F$10&lt;&gt;"")*((($C$5:$C$10="Jordania")*($D$5:$D$10))+(($G$5:$G$10="Jordania")*($F$5:$F$10))))</f>
        <v>0</v>
      </c>
      <c r="G16" s="7">
        <f>SUMPRODUCT(($D$5:$D$10&lt;&gt;"")*($F$5:$F$10&lt;&gt;"")*((($C$5:$C$10="Jordania")*($F$5:$F$10))+(($G$5:$G$10="Jordania")*($D$5:$D$10))))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Argentina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Argelia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Austria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Jordania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410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197</v>
      </c>
      <c r="B5" s="7" t="s">
        <v>123</v>
      </c>
      <c r="C5" s="10" t="s">
        <v>204</v>
      </c>
      <c r="D5" s="11"/>
      <c r="E5" s="7" t="s">
        <v>386</v>
      </c>
      <c r="F5" s="11"/>
      <c r="G5" s="8" t="s">
        <v>205</v>
      </c>
      <c r="H5" s="7" t="str">
        <f t="shared" ref="H5:H10" si="0">IF(OR(D5="",F5=""),"",IF(D5&gt;F5,"L",IF(D5&lt;F5,"V","E")))</f>
        <v/>
      </c>
      <c r="I5" s="8" t="s">
        <v>126</v>
      </c>
    </row>
    <row r="6" spans="1:11" x14ac:dyDescent="0.25">
      <c r="A6" s="12" t="s">
        <v>197</v>
      </c>
      <c r="B6" s="12" t="s">
        <v>70</v>
      </c>
      <c r="C6" s="13" t="s">
        <v>220</v>
      </c>
      <c r="D6" s="11"/>
      <c r="E6" s="12" t="s">
        <v>386</v>
      </c>
      <c r="F6" s="11"/>
      <c r="G6" s="14" t="s">
        <v>221</v>
      </c>
      <c r="H6" s="12" t="str">
        <f t="shared" si="0"/>
        <v/>
      </c>
      <c r="I6" s="14" t="s">
        <v>66</v>
      </c>
    </row>
    <row r="7" spans="1:11" x14ac:dyDescent="0.25">
      <c r="A7" s="7" t="s">
        <v>291</v>
      </c>
      <c r="B7" s="7" t="s">
        <v>123</v>
      </c>
      <c r="C7" s="10" t="s">
        <v>204</v>
      </c>
      <c r="D7" s="11"/>
      <c r="E7" s="7" t="s">
        <v>386</v>
      </c>
      <c r="F7" s="11"/>
      <c r="G7" s="8" t="s">
        <v>220</v>
      </c>
      <c r="H7" s="7" t="str">
        <f t="shared" si="0"/>
        <v/>
      </c>
      <c r="I7" s="8" t="s">
        <v>126</v>
      </c>
    </row>
    <row r="8" spans="1:11" x14ac:dyDescent="0.25">
      <c r="A8" s="12" t="s">
        <v>291</v>
      </c>
      <c r="B8" s="12" t="s">
        <v>70</v>
      </c>
      <c r="C8" s="13" t="s">
        <v>221</v>
      </c>
      <c r="D8" s="11"/>
      <c r="E8" s="12" t="s">
        <v>386</v>
      </c>
      <c r="F8" s="11"/>
      <c r="G8" s="14" t="s">
        <v>205</v>
      </c>
      <c r="H8" s="12" t="str">
        <f t="shared" si="0"/>
        <v/>
      </c>
      <c r="I8" s="14" t="s">
        <v>73</v>
      </c>
    </row>
    <row r="9" spans="1:11" x14ac:dyDescent="0.25">
      <c r="A9" s="7" t="s">
        <v>358</v>
      </c>
      <c r="B9" s="7" t="s">
        <v>371</v>
      </c>
      <c r="C9" s="10" t="s">
        <v>221</v>
      </c>
      <c r="D9" s="11"/>
      <c r="E9" s="7" t="s">
        <v>386</v>
      </c>
      <c r="F9" s="11"/>
      <c r="G9" s="8" t="s">
        <v>204</v>
      </c>
      <c r="H9" s="7" t="str">
        <f t="shared" si="0"/>
        <v/>
      </c>
      <c r="I9" s="8" t="s">
        <v>169</v>
      </c>
    </row>
    <row r="10" spans="1:11" x14ac:dyDescent="0.25">
      <c r="A10" s="12" t="s">
        <v>358</v>
      </c>
      <c r="B10" s="12" t="s">
        <v>371</v>
      </c>
      <c r="C10" s="13" t="s">
        <v>205</v>
      </c>
      <c r="D10" s="11"/>
      <c r="E10" s="12" t="s">
        <v>386</v>
      </c>
      <c r="F10" s="11"/>
      <c r="G10" s="14" t="s">
        <v>220</v>
      </c>
      <c r="H10" s="12" t="str">
        <f t="shared" si="0"/>
        <v/>
      </c>
      <c r="I10" s="14" t="s">
        <v>156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204</v>
      </c>
      <c r="B13" s="7">
        <f>SUMPRODUCT((($C$5:$C$10="Portugal")+($G$5:$G$10="Portugal"))*($D$5:$D$10&lt;&gt;"")*($F$5:$F$10&lt;&gt;""))</f>
        <v>0</v>
      </c>
      <c r="C13" s="7">
        <f>SUMPRODUCT(($D$5:$D$10&lt;&gt;"")*($F$5:$F$10&lt;&gt;"")*((($C$5:$C$10="Portugal")*(($D$5:$D$10)&gt;($F$5:$F$10)))+(($G$5:$G$10="Portugal")*(($F$5:$F$10)&gt;($D$5:$D$10)))))</f>
        <v>0</v>
      </c>
      <c r="D13" s="7">
        <f>SUMPRODUCT(($D$5:$D$10&lt;&gt;"")*($F$5:$F$10&lt;&gt;"")*(($C$5:$C$10="Portugal")+($G$5:$G$10="Portugal"))*(($D$5:$D$10)=($F$5:$F$10)))</f>
        <v>0</v>
      </c>
      <c r="E13" s="7">
        <f>SUMPRODUCT(($D$5:$D$10&lt;&gt;"")*($F$5:$F$10&lt;&gt;"")*((($C$5:$C$10="Portugal")*(($D$5:$D$10)&lt;($F$5:$F$10)))+(($G$5:$G$10="Portugal")*(($F$5:$F$10)&lt;($D$5:$D$10)))))</f>
        <v>0</v>
      </c>
      <c r="F13" s="7">
        <f>SUMPRODUCT(($D$5:$D$10&lt;&gt;"")*($F$5:$F$10&lt;&gt;"")*((($C$5:$C$10="Portugal")*($D$5:$D$10))+(($G$5:$G$10="Portugal")*($F$5:$F$10))))</f>
        <v>0</v>
      </c>
      <c r="G13" s="7">
        <f>SUMPRODUCT(($D$5:$D$10&lt;&gt;"")*($F$5:$F$10&lt;&gt;"")*((($C$5:$C$10="Portugal")*($F$5:$F$10))+(($G$5:$G$10="Portugal")*($D$5:$D$10))))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205</v>
      </c>
      <c r="B14" s="7">
        <f>SUMPRODUCT((($C$5:$C$10="RD del Congo")+($G$5:$G$10="RD del Congo"))*($D$5:$D$10&lt;&gt;"")*($F$5:$F$10&lt;&gt;""))</f>
        <v>0</v>
      </c>
      <c r="C14" s="7">
        <f>SUMPRODUCT(($D$5:$D$10&lt;&gt;"")*($F$5:$F$10&lt;&gt;"")*((($C$5:$C$10="RD del Congo")*(($D$5:$D$10)&gt;($F$5:$F$10)))+(($G$5:$G$10="RD del Congo")*(($F$5:$F$10)&gt;($D$5:$D$10)))))</f>
        <v>0</v>
      </c>
      <c r="D14" s="7">
        <f>SUMPRODUCT(($D$5:$D$10&lt;&gt;"")*($F$5:$F$10&lt;&gt;"")*(($C$5:$C$10="RD del Congo")+($G$5:$G$10="RD del Congo"))*(($D$5:$D$10)=($F$5:$F$10)))</f>
        <v>0</v>
      </c>
      <c r="E14" s="7">
        <f>SUMPRODUCT(($D$5:$D$10&lt;&gt;"")*($F$5:$F$10&lt;&gt;"")*((($C$5:$C$10="RD del Congo")*(($D$5:$D$10)&lt;($F$5:$F$10)))+(($G$5:$G$10="RD del Congo")*(($F$5:$F$10)&lt;($D$5:$D$10)))))</f>
        <v>0</v>
      </c>
      <c r="F14" s="7">
        <f>SUMPRODUCT(($D$5:$D$10&lt;&gt;"")*($F$5:$F$10&lt;&gt;"")*((($C$5:$C$10="RD del Congo")*($D$5:$D$10))+(($G$5:$G$10="RD del Congo")*($F$5:$F$10))))</f>
        <v>0</v>
      </c>
      <c r="G14" s="7">
        <f>SUMPRODUCT(($D$5:$D$10&lt;&gt;"")*($F$5:$F$10&lt;&gt;"")*((($C$5:$C$10="RD del Congo")*($F$5:$F$10))+(($G$5:$G$10="RD del Congo")*($D$5:$D$10))))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220</v>
      </c>
      <c r="B15" s="7">
        <f>SUMPRODUCT((($C$5:$C$10="Uzbekistan")+($G$5:$G$10="Uzbekistan"))*($D$5:$D$10&lt;&gt;"")*($F$5:$F$10&lt;&gt;""))</f>
        <v>0</v>
      </c>
      <c r="C15" s="7">
        <f>SUMPRODUCT(($D$5:$D$10&lt;&gt;"")*($F$5:$F$10&lt;&gt;"")*((($C$5:$C$10="Uzbekistan")*(($D$5:$D$10)&gt;($F$5:$F$10)))+(($G$5:$G$10="Uzbekistan")*(($F$5:$F$10)&gt;($D$5:$D$10)))))</f>
        <v>0</v>
      </c>
      <c r="D15" s="7">
        <f>SUMPRODUCT(($D$5:$D$10&lt;&gt;"")*($F$5:$F$10&lt;&gt;"")*(($C$5:$C$10="Uzbekistan")+($G$5:$G$10="Uzbekistan"))*(($D$5:$D$10)=($F$5:$F$10)))</f>
        <v>0</v>
      </c>
      <c r="E15" s="7">
        <f>SUMPRODUCT(($D$5:$D$10&lt;&gt;"")*($F$5:$F$10&lt;&gt;"")*((($C$5:$C$10="Uzbekistan")*(($D$5:$D$10)&lt;($F$5:$F$10)))+(($G$5:$G$10="Uzbekistan")*(($F$5:$F$10)&lt;($D$5:$D$10)))))</f>
        <v>0</v>
      </c>
      <c r="F15" s="7">
        <f>SUMPRODUCT(($D$5:$D$10&lt;&gt;"")*($F$5:$F$10&lt;&gt;"")*((($C$5:$C$10="Uzbekistan")*($D$5:$D$10))+(($G$5:$G$10="Uzbekistan")*($F$5:$F$10))))</f>
        <v>0</v>
      </c>
      <c r="G15" s="7">
        <f>SUMPRODUCT(($D$5:$D$10&lt;&gt;"")*($F$5:$F$10&lt;&gt;"")*((($C$5:$C$10="Uzbekistan")*($F$5:$F$10))+(($G$5:$G$10="Uzbekistan")*($D$5:$D$10))))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221</v>
      </c>
      <c r="B16" s="7">
        <f>SUMPRODUCT((($C$5:$C$10="Colombia")+($G$5:$G$10="Colombia"))*($D$5:$D$10&lt;&gt;"")*($F$5:$F$10&lt;&gt;""))</f>
        <v>0</v>
      </c>
      <c r="C16" s="7">
        <f>SUMPRODUCT(($D$5:$D$10&lt;&gt;"")*($F$5:$F$10&lt;&gt;"")*((($C$5:$C$10="Colombia")*(($D$5:$D$10)&gt;($F$5:$F$10)))+(($G$5:$G$10="Colombia")*(($F$5:$F$10)&gt;($D$5:$D$10)))))</f>
        <v>0</v>
      </c>
      <c r="D16" s="7">
        <f>SUMPRODUCT(($D$5:$D$10&lt;&gt;"")*($F$5:$F$10&lt;&gt;"")*(($C$5:$C$10="Colombia")+($G$5:$G$10="Colombia"))*(($D$5:$D$10)=($F$5:$F$10)))</f>
        <v>0</v>
      </c>
      <c r="E16" s="7">
        <f>SUMPRODUCT(($D$5:$D$10&lt;&gt;"")*($F$5:$F$10&lt;&gt;"")*((($C$5:$C$10="Colombia")*(($D$5:$D$10)&lt;($F$5:$F$10)))+(($G$5:$G$10="Colombia")*(($F$5:$F$10)&lt;($D$5:$D$10)))))</f>
        <v>0</v>
      </c>
      <c r="F16" s="7">
        <f>SUMPRODUCT(($D$5:$D$10&lt;&gt;"")*($F$5:$F$10&lt;&gt;"")*((($C$5:$C$10="Colombia")*($D$5:$D$10))+(($G$5:$G$10="Colombia")*($F$5:$F$10))))</f>
        <v>0</v>
      </c>
      <c r="G16" s="7">
        <f>SUMPRODUCT(($D$5:$D$10&lt;&gt;"")*($F$5:$F$10&lt;&gt;"")*((($C$5:$C$10="Colombia")*($F$5:$F$10))+(($G$5:$G$10="Colombia")*($D$5:$D$10))))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Portugal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RD del Congo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Uzbekistan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Colombia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"/>
  <sheetViews>
    <sheetView showGridLines="0" zoomScaleNormal="100" workbookViewId="0"/>
  </sheetViews>
  <sheetFormatPr baseColWidth="10" defaultColWidth="8.7109375" defaultRowHeight="15" x14ac:dyDescent="0.25"/>
  <cols>
    <col min="1" max="1" width="13" customWidth="1"/>
    <col min="2" max="2" width="12" customWidth="1"/>
    <col min="3" max="3" width="26" customWidth="1"/>
    <col min="4" max="4" width="8" customWidth="1"/>
    <col min="5" max="5" width="4" customWidth="1"/>
    <col min="6" max="6" width="8" customWidth="1"/>
    <col min="7" max="7" width="26" customWidth="1"/>
    <col min="8" max="8" width="11" customWidth="1"/>
    <col min="9" max="9" width="32" customWidth="1"/>
    <col min="10" max="10" width="8" customWidth="1"/>
    <col min="11" max="11" width="8" hidden="1" customWidth="1"/>
    <col min="12" max="12" width="22" customWidth="1"/>
  </cols>
  <sheetData>
    <row r="1" spans="1:11" ht="30" customHeight="1" x14ac:dyDescent="0.25">
      <c r="A1" s="25" t="s">
        <v>411</v>
      </c>
      <c r="B1" s="25"/>
      <c r="C1" s="25"/>
      <c r="D1" s="25"/>
      <c r="E1" s="25"/>
      <c r="F1" s="25"/>
      <c r="G1" s="25"/>
      <c r="H1" s="25"/>
    </row>
    <row r="3" spans="1:11" x14ac:dyDescent="0.25">
      <c r="A3" s="2" t="s">
        <v>7</v>
      </c>
      <c r="B3" s="26" t="s">
        <v>384</v>
      </c>
      <c r="C3" s="26"/>
      <c r="D3" s="26"/>
      <c r="E3" s="26"/>
      <c r="F3" s="26"/>
      <c r="G3" s="26"/>
      <c r="H3" s="26"/>
    </row>
    <row r="4" spans="1:11" ht="21.75" customHeight="1" x14ac:dyDescent="0.25">
      <c r="A4" s="6" t="s">
        <v>28</v>
      </c>
      <c r="B4" s="6" t="s">
        <v>55</v>
      </c>
      <c r="C4" s="6" t="s">
        <v>56</v>
      </c>
      <c r="D4" s="6" t="s">
        <v>385</v>
      </c>
      <c r="E4" s="6"/>
      <c r="F4" s="6" t="s">
        <v>385</v>
      </c>
      <c r="G4" s="6" t="s">
        <v>59</v>
      </c>
      <c r="H4" s="6" t="s">
        <v>34</v>
      </c>
      <c r="I4" s="6" t="s">
        <v>36</v>
      </c>
    </row>
    <row r="5" spans="1:11" x14ac:dyDescent="0.25">
      <c r="A5" s="7" t="s">
        <v>197</v>
      </c>
      <c r="B5" s="7" t="s">
        <v>131</v>
      </c>
      <c r="C5" s="10" t="s">
        <v>210</v>
      </c>
      <c r="D5" s="11"/>
      <c r="E5" s="7" t="s">
        <v>386</v>
      </c>
      <c r="F5" s="11"/>
      <c r="G5" s="8" t="s">
        <v>211</v>
      </c>
      <c r="H5" s="7" t="str">
        <f t="shared" ref="H5:H10" si="0">IF(OR(D5="",F5=""),"",IF(D5&gt;F5,"L",IF(D5&lt;F5,"V","E")))</f>
        <v/>
      </c>
      <c r="I5" s="8" t="s">
        <v>134</v>
      </c>
    </row>
    <row r="6" spans="1:11" x14ac:dyDescent="0.25">
      <c r="A6" s="12" t="s">
        <v>197</v>
      </c>
      <c r="B6" s="12" t="s">
        <v>138</v>
      </c>
      <c r="C6" s="13" t="s">
        <v>215</v>
      </c>
      <c r="D6" s="11"/>
      <c r="E6" s="12" t="s">
        <v>386</v>
      </c>
      <c r="F6" s="11"/>
      <c r="G6" s="14" t="s">
        <v>216</v>
      </c>
      <c r="H6" s="12" t="str">
        <f t="shared" si="0"/>
        <v/>
      </c>
      <c r="I6" s="14" t="s">
        <v>81</v>
      </c>
    </row>
    <row r="7" spans="1:11" x14ac:dyDescent="0.25">
      <c r="A7" s="7" t="s">
        <v>291</v>
      </c>
      <c r="B7" s="7" t="s">
        <v>131</v>
      </c>
      <c r="C7" s="10" t="s">
        <v>210</v>
      </c>
      <c r="D7" s="11"/>
      <c r="E7" s="7" t="s">
        <v>386</v>
      </c>
      <c r="F7" s="11"/>
      <c r="G7" s="8" t="s">
        <v>215</v>
      </c>
      <c r="H7" s="7" t="str">
        <f t="shared" si="0"/>
        <v/>
      </c>
      <c r="I7" s="8" t="s">
        <v>110</v>
      </c>
    </row>
    <row r="8" spans="1:11" x14ac:dyDescent="0.25">
      <c r="A8" s="12" t="s">
        <v>291</v>
      </c>
      <c r="B8" s="12" t="s">
        <v>138</v>
      </c>
      <c r="C8" s="13" t="s">
        <v>216</v>
      </c>
      <c r="D8" s="11"/>
      <c r="E8" s="12" t="s">
        <v>386</v>
      </c>
      <c r="F8" s="11"/>
      <c r="G8" s="14" t="s">
        <v>211</v>
      </c>
      <c r="H8" s="12" t="str">
        <f t="shared" si="0"/>
        <v/>
      </c>
      <c r="I8" s="14" t="s">
        <v>81</v>
      </c>
    </row>
    <row r="9" spans="1:11" x14ac:dyDescent="0.25">
      <c r="A9" s="7" t="s">
        <v>358</v>
      </c>
      <c r="B9" s="7" t="s">
        <v>284</v>
      </c>
      <c r="C9" s="10" t="s">
        <v>216</v>
      </c>
      <c r="D9" s="11"/>
      <c r="E9" s="7" t="s">
        <v>386</v>
      </c>
      <c r="F9" s="11"/>
      <c r="G9" s="8" t="s">
        <v>210</v>
      </c>
      <c r="H9" s="7" t="str">
        <f t="shared" si="0"/>
        <v/>
      </c>
      <c r="I9" s="8" t="s">
        <v>104</v>
      </c>
    </row>
    <row r="10" spans="1:11" x14ac:dyDescent="0.25">
      <c r="A10" s="12" t="s">
        <v>358</v>
      </c>
      <c r="B10" s="12" t="s">
        <v>284</v>
      </c>
      <c r="C10" s="13" t="s">
        <v>211</v>
      </c>
      <c r="D10" s="11"/>
      <c r="E10" s="12" t="s">
        <v>386</v>
      </c>
      <c r="F10" s="11"/>
      <c r="G10" s="14" t="s">
        <v>215</v>
      </c>
      <c r="H10" s="12" t="str">
        <f t="shared" si="0"/>
        <v/>
      </c>
      <c r="I10" s="14" t="s">
        <v>141</v>
      </c>
    </row>
    <row r="11" spans="1:11" x14ac:dyDescent="0.25">
      <c r="A11" s="1" t="s">
        <v>387</v>
      </c>
    </row>
    <row r="12" spans="1:11" x14ac:dyDescent="0.25">
      <c r="A12" s="6" t="s">
        <v>388</v>
      </c>
      <c r="B12" s="6" t="s">
        <v>389</v>
      </c>
      <c r="C12" s="6" t="s">
        <v>390</v>
      </c>
      <c r="D12" s="6" t="s">
        <v>391</v>
      </c>
      <c r="E12" s="6" t="s">
        <v>392</v>
      </c>
      <c r="F12" s="6" t="s">
        <v>393</v>
      </c>
      <c r="G12" s="6" t="s">
        <v>394</v>
      </c>
      <c r="H12" s="6" t="s">
        <v>395</v>
      </c>
      <c r="I12" s="6" t="s">
        <v>396</v>
      </c>
      <c r="K12" s="1" t="s">
        <v>397</v>
      </c>
    </row>
    <row r="13" spans="1:11" x14ac:dyDescent="0.25">
      <c r="A13" s="8" t="s">
        <v>210</v>
      </c>
      <c r="B13" s="7">
        <f>SUMPRODUCT((($C$5:$C$10="Inglaterra")+($G$5:$G$10="Inglaterra"))*($D$5:$D$10&lt;&gt;"")*($F$5:$F$10&lt;&gt;""))</f>
        <v>0</v>
      </c>
      <c r="C13" s="7">
        <f>SUMPRODUCT(($D$5:$D$10&lt;&gt;"")*($F$5:$F$10&lt;&gt;"")*((($C$5:$C$10="Inglaterra")*(($D$5:$D$10)&gt;($F$5:$F$10)))+(($G$5:$G$10="Inglaterra")*(($F$5:$F$10)&gt;($D$5:$D$10)))))</f>
        <v>0</v>
      </c>
      <c r="D13" s="7">
        <f>SUMPRODUCT(($D$5:$D$10&lt;&gt;"")*($F$5:$F$10&lt;&gt;"")*(($C$5:$C$10="Inglaterra")+($G$5:$G$10="Inglaterra"))*(($D$5:$D$10)=($F$5:$F$10)))</f>
        <v>0</v>
      </c>
      <c r="E13" s="7">
        <f>SUMPRODUCT(($D$5:$D$10&lt;&gt;"")*($F$5:$F$10&lt;&gt;"")*((($C$5:$C$10="Inglaterra")*(($D$5:$D$10)&lt;($F$5:$F$10)))+(($G$5:$G$10="Inglaterra")*(($F$5:$F$10)&lt;($D$5:$D$10)))))</f>
        <v>0</v>
      </c>
      <c r="F13" s="7">
        <f>SUMPRODUCT(($D$5:$D$10&lt;&gt;"")*($F$5:$F$10&lt;&gt;"")*((($C$5:$C$10="Inglaterra")*($D$5:$D$10))+(($G$5:$G$10="Inglaterra")*($F$5:$F$10))))</f>
        <v>0</v>
      </c>
      <c r="G13" s="7">
        <f>SUMPRODUCT(($D$5:$D$10&lt;&gt;"")*($F$5:$F$10&lt;&gt;"")*((($C$5:$C$10="Inglaterra")*($F$5:$F$10))+(($G$5:$G$10="Inglaterra")*($D$5:$D$10))))</f>
        <v>0</v>
      </c>
      <c r="H13" s="7">
        <f>F13-G13</f>
        <v>0</v>
      </c>
      <c r="I13" s="7">
        <f>C13*3+D13</f>
        <v>0</v>
      </c>
      <c r="K13" s="1">
        <f>I13*1000000000+H13*1000000+F13*1000+(4)</f>
        <v>4</v>
      </c>
    </row>
    <row r="14" spans="1:11" x14ac:dyDescent="0.25">
      <c r="A14" s="8" t="s">
        <v>211</v>
      </c>
      <c r="B14" s="7">
        <f>SUMPRODUCT((($C$5:$C$10="Croacia")+($G$5:$G$10="Croacia"))*($D$5:$D$10&lt;&gt;"")*($F$5:$F$10&lt;&gt;""))</f>
        <v>0</v>
      </c>
      <c r="C14" s="7">
        <f>SUMPRODUCT(($D$5:$D$10&lt;&gt;"")*($F$5:$F$10&lt;&gt;"")*((($C$5:$C$10="Croacia")*(($D$5:$D$10)&gt;($F$5:$F$10)))+(($G$5:$G$10="Croacia")*(($F$5:$F$10)&gt;($D$5:$D$10)))))</f>
        <v>0</v>
      </c>
      <c r="D14" s="7">
        <f>SUMPRODUCT(($D$5:$D$10&lt;&gt;"")*($F$5:$F$10&lt;&gt;"")*(($C$5:$C$10="Croacia")+($G$5:$G$10="Croacia"))*(($D$5:$D$10)=($F$5:$F$10)))</f>
        <v>0</v>
      </c>
      <c r="E14" s="7">
        <f>SUMPRODUCT(($D$5:$D$10&lt;&gt;"")*($F$5:$F$10&lt;&gt;"")*((($C$5:$C$10="Croacia")*(($D$5:$D$10)&lt;($F$5:$F$10)))+(($G$5:$G$10="Croacia")*(($F$5:$F$10)&lt;($D$5:$D$10)))))</f>
        <v>0</v>
      </c>
      <c r="F14" s="7">
        <f>SUMPRODUCT(($D$5:$D$10&lt;&gt;"")*($F$5:$F$10&lt;&gt;"")*((($C$5:$C$10="Croacia")*($D$5:$D$10))+(($G$5:$G$10="Croacia")*($F$5:$F$10))))</f>
        <v>0</v>
      </c>
      <c r="G14" s="7">
        <f>SUMPRODUCT(($D$5:$D$10&lt;&gt;"")*($F$5:$F$10&lt;&gt;"")*((($C$5:$C$10="Croacia")*($F$5:$F$10))+(($G$5:$G$10="Croacia")*($D$5:$D$10))))</f>
        <v>0</v>
      </c>
      <c r="H14" s="7">
        <f>F14-G14</f>
        <v>0</v>
      </c>
      <c r="I14" s="7">
        <f>C14*3+D14</f>
        <v>0</v>
      </c>
      <c r="K14" s="1">
        <f>I14*1000000000+H14*1000000+F14*1000+(3)</f>
        <v>3</v>
      </c>
    </row>
    <row r="15" spans="1:11" x14ac:dyDescent="0.25">
      <c r="A15" s="8" t="s">
        <v>215</v>
      </c>
      <c r="B15" s="7">
        <f>SUMPRODUCT((($C$5:$C$10="Ghana")+($G$5:$G$10="Ghana"))*($D$5:$D$10&lt;&gt;"")*($F$5:$F$10&lt;&gt;""))</f>
        <v>0</v>
      </c>
      <c r="C15" s="7">
        <f>SUMPRODUCT(($D$5:$D$10&lt;&gt;"")*($F$5:$F$10&lt;&gt;"")*((($C$5:$C$10="Ghana")*(($D$5:$D$10)&gt;($F$5:$F$10)))+(($G$5:$G$10="Ghana")*(($F$5:$F$10)&gt;($D$5:$D$10)))))</f>
        <v>0</v>
      </c>
      <c r="D15" s="7">
        <f>SUMPRODUCT(($D$5:$D$10&lt;&gt;"")*($F$5:$F$10&lt;&gt;"")*(($C$5:$C$10="Ghana")+($G$5:$G$10="Ghana"))*(($D$5:$D$10)=($F$5:$F$10)))</f>
        <v>0</v>
      </c>
      <c r="E15" s="7">
        <f>SUMPRODUCT(($D$5:$D$10&lt;&gt;"")*($F$5:$F$10&lt;&gt;"")*((($C$5:$C$10="Ghana")*(($D$5:$D$10)&lt;($F$5:$F$10)))+(($G$5:$G$10="Ghana")*(($F$5:$F$10)&lt;($D$5:$D$10)))))</f>
        <v>0</v>
      </c>
      <c r="F15" s="7">
        <f>SUMPRODUCT(($D$5:$D$10&lt;&gt;"")*($F$5:$F$10&lt;&gt;"")*((($C$5:$C$10="Ghana")*($D$5:$D$10))+(($G$5:$G$10="Ghana")*($F$5:$F$10))))</f>
        <v>0</v>
      </c>
      <c r="G15" s="7">
        <f>SUMPRODUCT(($D$5:$D$10&lt;&gt;"")*($F$5:$F$10&lt;&gt;"")*((($C$5:$C$10="Ghana")*($F$5:$F$10))+(($G$5:$G$10="Ghana")*($D$5:$D$10))))</f>
        <v>0</v>
      </c>
      <c r="H15" s="7">
        <f>F15-G15</f>
        <v>0</v>
      </c>
      <c r="I15" s="7">
        <f>C15*3+D15</f>
        <v>0</v>
      </c>
      <c r="K15" s="1">
        <f>I15*1000000000+H15*1000000+F15*1000+(2)</f>
        <v>2</v>
      </c>
    </row>
    <row r="16" spans="1:11" x14ac:dyDescent="0.25">
      <c r="A16" s="8" t="s">
        <v>216</v>
      </c>
      <c r="B16" s="7">
        <f>SUMPRODUCT((($C$5:$C$10="Panama")+($G$5:$G$10="Panama"))*($D$5:$D$10&lt;&gt;"")*($F$5:$F$10&lt;&gt;""))</f>
        <v>0</v>
      </c>
      <c r="C16" s="7">
        <f>SUMPRODUCT(($D$5:$D$10&lt;&gt;"")*($F$5:$F$10&lt;&gt;"")*((($C$5:$C$10="Panama")*(($D$5:$D$10)&gt;($F$5:$F$10)))+(($G$5:$G$10="Panama")*(($F$5:$F$10)&gt;($D$5:$D$10)))))</f>
        <v>0</v>
      </c>
      <c r="D16" s="7">
        <f>SUMPRODUCT(($D$5:$D$10&lt;&gt;"")*($F$5:$F$10&lt;&gt;"")*(($C$5:$C$10="Panama")+($G$5:$G$10="Panama"))*(($D$5:$D$10)=($F$5:$F$10)))</f>
        <v>0</v>
      </c>
      <c r="E16" s="7">
        <f>SUMPRODUCT(($D$5:$D$10&lt;&gt;"")*($F$5:$F$10&lt;&gt;"")*((($C$5:$C$10="Panama")*(($D$5:$D$10)&lt;($F$5:$F$10)))+(($G$5:$G$10="Panama")*(($F$5:$F$10)&lt;($D$5:$D$10)))))</f>
        <v>0</v>
      </c>
      <c r="F16" s="7">
        <f>SUMPRODUCT(($D$5:$D$10&lt;&gt;"")*($F$5:$F$10&lt;&gt;"")*((($C$5:$C$10="Panama")*($D$5:$D$10))+(($G$5:$G$10="Panama")*($F$5:$F$10))))</f>
        <v>0</v>
      </c>
      <c r="G16" s="7">
        <f>SUMPRODUCT(($D$5:$D$10&lt;&gt;"")*($F$5:$F$10&lt;&gt;"")*((($C$5:$C$10="Panama")*($F$5:$F$10))+(($G$5:$G$10="Panama")*($D$5:$D$10))))</f>
        <v>0</v>
      </c>
      <c r="H16" s="7">
        <f>F16-G16</f>
        <v>0</v>
      </c>
      <c r="I16" s="7">
        <f>C16*3+D16</f>
        <v>0</v>
      </c>
      <c r="K16" s="1">
        <f>I16*1000000000+H16*1000000+F16*1000+(1)</f>
        <v>1</v>
      </c>
    </row>
    <row r="17" spans="1:11" x14ac:dyDescent="0.25">
      <c r="A17" s="2" t="s">
        <v>398</v>
      </c>
    </row>
    <row r="18" spans="1:11" x14ac:dyDescent="0.25">
      <c r="A18" s="6" t="s">
        <v>399</v>
      </c>
      <c r="B18" s="6" t="s">
        <v>388</v>
      </c>
      <c r="C18" s="6" t="s">
        <v>389</v>
      </c>
      <c r="D18" s="6" t="s">
        <v>390</v>
      </c>
      <c r="E18" s="6" t="s">
        <v>391</v>
      </c>
      <c r="F18" s="6" t="s">
        <v>392</v>
      </c>
      <c r="G18" s="6" t="s">
        <v>393</v>
      </c>
      <c r="H18" s="6" t="s">
        <v>394</v>
      </c>
      <c r="I18" s="6" t="s">
        <v>395</v>
      </c>
      <c r="J18" s="6" t="s">
        <v>396</v>
      </c>
      <c r="K18" s="6" t="s">
        <v>400</v>
      </c>
    </row>
    <row r="19" spans="1:11" x14ac:dyDescent="0.25">
      <c r="A19" s="15">
        <v>1</v>
      </c>
      <c r="B19" s="16" t="str">
        <f>INDEX($A$13:$A$16,MATCH(LARGE($K$13:$K$16,1),$K$13:$K$16,0))</f>
        <v>Inglaterra</v>
      </c>
      <c r="C19" s="15">
        <f>INDEX($B$13:$I$16,MATCH(LARGE($K$13:$K$16,1),$K$13:$K$16,0),1)</f>
        <v>0</v>
      </c>
      <c r="D19" s="15">
        <f>INDEX($B$13:$I$16,MATCH(LARGE($K$13:$K$16,1),$K$13:$K$16,0),2)</f>
        <v>0</v>
      </c>
      <c r="E19" s="15">
        <f>INDEX($B$13:$I$16,MATCH(LARGE($K$13:$K$16,1),$K$13:$K$16,0),3)</f>
        <v>0</v>
      </c>
      <c r="F19" s="15">
        <f>INDEX($B$13:$I$16,MATCH(LARGE($K$13:$K$16,1),$K$13:$K$16,0),4)</f>
        <v>0</v>
      </c>
      <c r="G19" s="15">
        <f>INDEX($B$13:$I$16,MATCH(LARGE($K$13:$K$16,1),$K$13:$K$16,0),5)</f>
        <v>0</v>
      </c>
      <c r="H19" s="15">
        <f>INDEX($B$13:$I$16,MATCH(LARGE($K$13:$K$16,1),$K$13:$K$16,0),6)</f>
        <v>0</v>
      </c>
      <c r="I19" s="15">
        <f>INDEX($B$13:$I$16,MATCH(LARGE($K$13:$K$16,1),$K$13:$K$16,0),7)</f>
        <v>0</v>
      </c>
      <c r="J19" s="15">
        <f>INDEX($B$13:$I$16,MATCH(LARGE($K$13:$K$16,1),$K$13:$K$16,0),8)</f>
        <v>0</v>
      </c>
      <c r="K19" s="15" t="str">
        <f>"Clasificado 1ro"</f>
        <v>Clasificado 1ro</v>
      </c>
    </row>
    <row r="20" spans="1:11" x14ac:dyDescent="0.25">
      <c r="A20" s="15">
        <v>2</v>
      </c>
      <c r="B20" s="16" t="str">
        <f>INDEX($A$13:$A$16,MATCH(LARGE($K$13:$K$16,2),$K$13:$K$16,0))</f>
        <v>Croacia</v>
      </c>
      <c r="C20" s="15">
        <f>INDEX($B$13:$I$16,MATCH(LARGE($K$13:$K$16,2),$K$13:$K$16,0),1)</f>
        <v>0</v>
      </c>
      <c r="D20" s="15">
        <f>INDEX($B$13:$I$16,MATCH(LARGE($K$13:$K$16,2),$K$13:$K$16,0),2)</f>
        <v>0</v>
      </c>
      <c r="E20" s="15">
        <f>INDEX($B$13:$I$16,MATCH(LARGE($K$13:$K$16,2),$K$13:$K$16,0),3)</f>
        <v>0</v>
      </c>
      <c r="F20" s="15">
        <f>INDEX($B$13:$I$16,MATCH(LARGE($K$13:$K$16,2),$K$13:$K$16,0),4)</f>
        <v>0</v>
      </c>
      <c r="G20" s="15">
        <f>INDEX($B$13:$I$16,MATCH(LARGE($K$13:$K$16,2),$K$13:$K$16,0),5)</f>
        <v>0</v>
      </c>
      <c r="H20" s="15">
        <f>INDEX($B$13:$I$16,MATCH(LARGE($K$13:$K$16,2),$K$13:$K$16,0),6)</f>
        <v>0</v>
      </c>
      <c r="I20" s="15">
        <f>INDEX($B$13:$I$16,MATCH(LARGE($K$13:$K$16,2),$K$13:$K$16,0),7)</f>
        <v>0</v>
      </c>
      <c r="J20" s="15">
        <f>INDEX($B$13:$I$16,MATCH(LARGE($K$13:$K$16,2),$K$13:$K$16,0),8)</f>
        <v>0</v>
      </c>
      <c r="K20" s="15" t="str">
        <f>"Clasificado 2do"</f>
        <v>Clasificado 2do</v>
      </c>
    </row>
    <row r="21" spans="1:11" x14ac:dyDescent="0.25">
      <c r="A21" s="11">
        <v>3</v>
      </c>
      <c r="B21" s="17" t="str">
        <f>INDEX($A$13:$A$16,MATCH(LARGE($K$13:$K$16,3),$K$13:$K$16,0))</f>
        <v>Ghana</v>
      </c>
      <c r="C21" s="11">
        <f>INDEX($B$13:$I$16,MATCH(LARGE($K$13:$K$16,3),$K$13:$K$16,0),1)</f>
        <v>0</v>
      </c>
      <c r="D21" s="11">
        <f>INDEX($B$13:$I$16,MATCH(LARGE($K$13:$K$16,3),$K$13:$K$16,0),2)</f>
        <v>0</v>
      </c>
      <c r="E21" s="11">
        <f>INDEX($B$13:$I$16,MATCH(LARGE($K$13:$K$16,3),$K$13:$K$16,0),3)</f>
        <v>0</v>
      </c>
      <c r="F21" s="11">
        <f>INDEX($B$13:$I$16,MATCH(LARGE($K$13:$K$16,3),$K$13:$K$16,0),4)</f>
        <v>0</v>
      </c>
      <c r="G21" s="11">
        <f>INDEX($B$13:$I$16,MATCH(LARGE($K$13:$K$16,3),$K$13:$K$16,0),5)</f>
        <v>0</v>
      </c>
      <c r="H21" s="11">
        <f>INDEX($B$13:$I$16,MATCH(LARGE($K$13:$K$16,3),$K$13:$K$16,0),6)</f>
        <v>0</v>
      </c>
      <c r="I21" s="11">
        <f>INDEX($B$13:$I$16,MATCH(LARGE($K$13:$K$16,3),$K$13:$K$16,0),7)</f>
        <v>0</v>
      </c>
      <c r="J21" s="11">
        <f>INDEX($B$13:$I$16,MATCH(LARGE($K$13:$K$16,3),$K$13:$K$16,0),8)</f>
        <v>0</v>
      </c>
      <c r="K21" s="11" t="str">
        <f>"3ro (puede avanzar)"</f>
        <v>3ro (puede avanzar)</v>
      </c>
    </row>
    <row r="22" spans="1:11" x14ac:dyDescent="0.25">
      <c r="A22" s="18">
        <v>4</v>
      </c>
      <c r="B22" s="19" t="str">
        <f>INDEX($A$13:$A$16,MATCH(LARGE($K$13:$K$16,4),$K$13:$K$16,0))</f>
        <v>Panama</v>
      </c>
      <c r="C22" s="18">
        <f>INDEX($B$13:$I$16,MATCH(LARGE($K$13:$K$16,4),$K$13:$K$16,0),1)</f>
        <v>0</v>
      </c>
      <c r="D22" s="18">
        <f>INDEX($B$13:$I$16,MATCH(LARGE($K$13:$K$16,4),$K$13:$K$16,0),2)</f>
        <v>0</v>
      </c>
      <c r="E22" s="18">
        <f>INDEX($B$13:$I$16,MATCH(LARGE($K$13:$K$16,4),$K$13:$K$16,0),3)</f>
        <v>0</v>
      </c>
      <c r="F22" s="18">
        <f>INDEX($B$13:$I$16,MATCH(LARGE($K$13:$K$16,4),$K$13:$K$16,0),4)</f>
        <v>0</v>
      </c>
      <c r="G22" s="18">
        <f>INDEX($B$13:$I$16,MATCH(LARGE($K$13:$K$16,4),$K$13:$K$16,0),5)</f>
        <v>0</v>
      </c>
      <c r="H22" s="18">
        <f>INDEX($B$13:$I$16,MATCH(LARGE($K$13:$K$16,4),$K$13:$K$16,0),6)</f>
        <v>0</v>
      </c>
      <c r="I22" s="18">
        <f>INDEX($B$13:$I$16,MATCH(LARGE($K$13:$K$16,4),$K$13:$K$16,0),7)</f>
        <v>0</v>
      </c>
      <c r="J22" s="18">
        <f>INDEX($B$13:$I$16,MATCH(LARGE($K$13:$K$16,4),$K$13:$K$16,0),8)</f>
        <v>0</v>
      </c>
      <c r="K22" s="18" t="str">
        <f>"Eliminado"</f>
        <v>Eliminado</v>
      </c>
    </row>
  </sheetData>
  <mergeCells count="2">
    <mergeCell ref="A1:H1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1"/>
  <sheetViews>
    <sheetView showGridLines="0" zoomScaleNormal="100" workbookViewId="0"/>
  </sheetViews>
  <sheetFormatPr baseColWidth="10" defaultColWidth="8.7109375" defaultRowHeight="15" x14ac:dyDescent="0.25"/>
  <cols>
    <col min="1" max="1" width="10" customWidth="1"/>
    <col min="2" max="2" width="13" customWidth="1"/>
    <col min="3" max="3" width="12" customWidth="1"/>
    <col min="4" max="4" width="24" customWidth="1"/>
    <col min="5" max="5" width="6" customWidth="1"/>
    <col min="6" max="6" width="4" customWidth="1"/>
    <col min="7" max="7" width="6" customWidth="1"/>
    <col min="8" max="8" width="24" customWidth="1"/>
    <col min="9" max="9" width="22" customWidth="1"/>
    <col min="10" max="10" width="32" customWidth="1"/>
    <col min="11" max="11" width="22" customWidth="1"/>
  </cols>
  <sheetData>
    <row r="1" spans="1:11" ht="31.5" customHeight="1" x14ac:dyDescent="0.25">
      <c r="A1" s="29" t="s">
        <v>412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3" spans="1:11" x14ac:dyDescent="0.25">
      <c r="A3" s="2" t="s">
        <v>413</v>
      </c>
    </row>
    <row r="4" spans="1:11" x14ac:dyDescent="0.25">
      <c r="A4" s="6" t="s">
        <v>26</v>
      </c>
      <c r="B4" s="6" t="s">
        <v>388</v>
      </c>
      <c r="C4" s="6" t="s">
        <v>396</v>
      </c>
      <c r="D4" s="6" t="s">
        <v>395</v>
      </c>
      <c r="E4" s="6" t="s">
        <v>393</v>
      </c>
      <c r="F4" s="6" t="s">
        <v>397</v>
      </c>
      <c r="G4" s="6" t="s">
        <v>414</v>
      </c>
      <c r="H4" s="6" t="s">
        <v>415</v>
      </c>
    </row>
    <row r="5" spans="1:11" x14ac:dyDescent="0.25">
      <c r="A5" s="7" t="s">
        <v>61</v>
      </c>
      <c r="B5" s="8" t="str">
        <f>'Grupo A'!$B$21</f>
        <v>Sudafrica</v>
      </c>
      <c r="C5" s="7">
        <f>'Grupo A'!$J$21</f>
        <v>4</v>
      </c>
      <c r="D5" s="7">
        <f>'Grupo A'!$I$21</f>
        <v>0</v>
      </c>
      <c r="E5" s="7">
        <f>'Grupo A'!$G$21</f>
        <v>5</v>
      </c>
      <c r="F5" s="7">
        <f>C5*1000000+D5*1000+E5+(12)/100</f>
        <v>4000005.12</v>
      </c>
      <c r="G5" s="20">
        <f t="shared" ref="G5:G16" si="0">SUMPRODUCT(($F$5:$F$16&gt;F5)*1)+1</f>
        <v>1</v>
      </c>
      <c r="H5" s="7" t="str">
        <f t="shared" ref="H5:H16" si="1">IF(G5&lt;=8,"SI","NO")</f>
        <v>SI</v>
      </c>
    </row>
    <row r="6" spans="1:11" x14ac:dyDescent="0.25">
      <c r="A6" s="7" t="s">
        <v>77</v>
      </c>
      <c r="B6" s="8" t="str">
        <f>'Grupo B'!$B$21</f>
        <v>Canada</v>
      </c>
      <c r="C6" s="7">
        <f>'Grupo B'!$J$21</f>
        <v>0</v>
      </c>
      <c r="D6" s="7">
        <f>'Grupo B'!$I$21</f>
        <v>-1</v>
      </c>
      <c r="E6" s="7">
        <f>'Grupo B'!$G$21</f>
        <v>1</v>
      </c>
      <c r="F6" s="7">
        <f>C6*1000000+D6*1000+E6+(11)/100</f>
        <v>-998.89</v>
      </c>
      <c r="G6" s="20">
        <f t="shared" si="0"/>
        <v>12</v>
      </c>
      <c r="H6" s="7" t="str">
        <f t="shared" si="1"/>
        <v>NO</v>
      </c>
    </row>
    <row r="7" spans="1:11" x14ac:dyDescent="0.25">
      <c r="A7" s="7" t="s">
        <v>100</v>
      </c>
      <c r="B7" s="8" t="str">
        <f>'Grupo C'!$B$21</f>
        <v>Haiti</v>
      </c>
      <c r="C7" s="7">
        <f>'Grupo C'!$J$21</f>
        <v>0</v>
      </c>
      <c r="D7" s="7">
        <f>'Grupo C'!$I$21</f>
        <v>0</v>
      </c>
      <c r="E7" s="7">
        <f>'Grupo C'!$G$21</f>
        <v>0</v>
      </c>
      <c r="F7" s="7">
        <f>C7*1000000+D7*1000+E7+(10)/100</f>
        <v>0.1</v>
      </c>
      <c r="G7" s="20">
        <f t="shared" si="0"/>
        <v>2</v>
      </c>
      <c r="H7" s="7" t="str">
        <f t="shared" si="1"/>
        <v>SI</v>
      </c>
    </row>
    <row r="8" spans="1:11" x14ac:dyDescent="0.25">
      <c r="A8" s="7" t="s">
        <v>85</v>
      </c>
      <c r="B8" s="8" t="str">
        <f>'Grupo D'!$B$21</f>
        <v>Australia</v>
      </c>
      <c r="C8" s="7">
        <f>'Grupo D'!$J$21</f>
        <v>0</v>
      </c>
      <c r="D8" s="7">
        <f>'Grupo D'!$I$21</f>
        <v>0</v>
      </c>
      <c r="E8" s="7">
        <f>'Grupo D'!$G$21</f>
        <v>0</v>
      </c>
      <c r="F8" s="7">
        <f>C8*1000000+D8*1000+E8+(9)/100</f>
        <v>0.09</v>
      </c>
      <c r="G8" s="20">
        <f t="shared" si="0"/>
        <v>3</v>
      </c>
      <c r="H8" s="7" t="str">
        <f t="shared" si="1"/>
        <v>SI</v>
      </c>
    </row>
    <row r="9" spans="1:11" x14ac:dyDescent="0.25">
      <c r="A9" s="7" t="s">
        <v>122</v>
      </c>
      <c r="B9" s="8" t="str">
        <f>'Grupo E'!$B$21</f>
        <v>Costa de Marfil</v>
      </c>
      <c r="C9" s="7">
        <f>'Grupo E'!$J$21</f>
        <v>0</v>
      </c>
      <c r="D9" s="7">
        <f>'Grupo E'!$I$21</f>
        <v>0</v>
      </c>
      <c r="E9" s="7">
        <f>'Grupo E'!$G$21</f>
        <v>0</v>
      </c>
      <c r="F9" s="7">
        <f>C9*1000000+D9*1000+E9+(8)/100</f>
        <v>0.08</v>
      </c>
      <c r="G9" s="20">
        <f t="shared" si="0"/>
        <v>4</v>
      </c>
      <c r="H9" s="7" t="str">
        <f t="shared" si="1"/>
        <v>SI</v>
      </c>
    </row>
    <row r="10" spans="1:11" x14ac:dyDescent="0.25">
      <c r="A10" s="7" t="s">
        <v>130</v>
      </c>
      <c r="B10" s="8" t="str">
        <f>'Grupo F'!$B$21</f>
        <v>Suecia</v>
      </c>
      <c r="C10" s="7">
        <f>'Grupo F'!$J$21</f>
        <v>0</v>
      </c>
      <c r="D10" s="7">
        <f>'Grupo F'!$I$21</f>
        <v>0</v>
      </c>
      <c r="E10" s="7">
        <f>'Grupo F'!$G$21</f>
        <v>0</v>
      </c>
      <c r="F10" s="7">
        <f>C10*1000000+D10*1000+E10+(7)/100</f>
        <v>7.0000000000000007E-2</v>
      </c>
      <c r="G10" s="20">
        <f t="shared" si="0"/>
        <v>5</v>
      </c>
      <c r="H10" s="7" t="str">
        <f t="shared" si="1"/>
        <v>SI</v>
      </c>
    </row>
    <row r="11" spans="1:11" x14ac:dyDescent="0.25">
      <c r="A11" s="7" t="s">
        <v>160</v>
      </c>
      <c r="B11" s="8" t="str">
        <f>'Grupo G'!$B$21</f>
        <v>Iran</v>
      </c>
      <c r="C11" s="7">
        <f>'Grupo G'!$J$21</f>
        <v>0</v>
      </c>
      <c r="D11" s="7">
        <f>'Grupo G'!$I$21</f>
        <v>0</v>
      </c>
      <c r="E11" s="7">
        <f>'Grupo G'!$G$21</f>
        <v>0</v>
      </c>
      <c r="F11" s="7">
        <f>C11*1000000+D11*1000+E11+(6)/100</f>
        <v>0.06</v>
      </c>
      <c r="G11" s="20">
        <f t="shared" si="0"/>
        <v>6</v>
      </c>
      <c r="H11" s="7" t="str">
        <f t="shared" si="1"/>
        <v>SI</v>
      </c>
    </row>
    <row r="12" spans="1:11" x14ac:dyDescent="0.25">
      <c r="A12" s="7" t="s">
        <v>151</v>
      </c>
      <c r="B12" s="8" t="str">
        <f>'Grupo H'!$B$21</f>
        <v>Arabia Saudita</v>
      </c>
      <c r="C12" s="7">
        <f>'Grupo H'!$J$21</f>
        <v>0</v>
      </c>
      <c r="D12" s="7">
        <f>'Grupo H'!$I$21</f>
        <v>0</v>
      </c>
      <c r="E12" s="7">
        <f>'Grupo H'!$G$21</f>
        <v>0</v>
      </c>
      <c r="F12" s="7">
        <f>C12*1000000+D12*1000+E12+(5)/100</f>
        <v>0.05</v>
      </c>
      <c r="G12" s="20">
        <f t="shared" si="0"/>
        <v>7</v>
      </c>
      <c r="H12" s="7" t="str">
        <f t="shared" si="1"/>
        <v>SI</v>
      </c>
    </row>
    <row r="13" spans="1:11" x14ac:dyDescent="0.25">
      <c r="A13" s="7" t="s">
        <v>178</v>
      </c>
      <c r="B13" s="8" t="str">
        <f>'Grupo I'!$B$21</f>
        <v>Irak</v>
      </c>
      <c r="C13" s="7">
        <f>'Grupo I'!$J$21</f>
        <v>0</v>
      </c>
      <c r="D13" s="7">
        <f>'Grupo I'!$I$21</f>
        <v>0</v>
      </c>
      <c r="E13" s="7">
        <f>'Grupo I'!$G$21</f>
        <v>0</v>
      </c>
      <c r="F13" s="7">
        <f>C13*1000000+D13*1000+E13+(4)/100</f>
        <v>0.04</v>
      </c>
      <c r="G13" s="20">
        <f t="shared" si="0"/>
        <v>8</v>
      </c>
      <c r="H13" s="7" t="str">
        <f t="shared" si="1"/>
        <v>SI</v>
      </c>
    </row>
    <row r="14" spans="1:11" x14ac:dyDescent="0.25">
      <c r="A14" s="7" t="s">
        <v>190</v>
      </c>
      <c r="B14" s="8" t="str">
        <f>'Grupo J'!$B$21</f>
        <v>Austria</v>
      </c>
      <c r="C14" s="7">
        <f>'Grupo J'!$J$21</f>
        <v>0</v>
      </c>
      <c r="D14" s="7">
        <f>'Grupo J'!$I$21</f>
        <v>0</v>
      </c>
      <c r="E14" s="7">
        <f>'Grupo J'!$G$21</f>
        <v>0</v>
      </c>
      <c r="F14" s="7">
        <f>C14*1000000+D14*1000+E14+(3)/100</f>
        <v>0.03</v>
      </c>
      <c r="G14" s="20">
        <f t="shared" si="0"/>
        <v>9</v>
      </c>
      <c r="H14" s="7" t="str">
        <f t="shared" si="1"/>
        <v>NO</v>
      </c>
    </row>
    <row r="15" spans="1:11" x14ac:dyDescent="0.25">
      <c r="A15" s="7" t="s">
        <v>203</v>
      </c>
      <c r="B15" s="8" t="str">
        <f>'Grupo K'!$B$21</f>
        <v>Uzbekistan</v>
      </c>
      <c r="C15" s="7">
        <f>'Grupo K'!$J$21</f>
        <v>0</v>
      </c>
      <c r="D15" s="7">
        <f>'Grupo K'!$I$21</f>
        <v>0</v>
      </c>
      <c r="E15" s="7">
        <f>'Grupo K'!$G$21</f>
        <v>0</v>
      </c>
      <c r="F15" s="7">
        <f>C15*1000000+D15*1000+E15+(2)/100</f>
        <v>0.02</v>
      </c>
      <c r="G15" s="20">
        <f t="shared" si="0"/>
        <v>10</v>
      </c>
      <c r="H15" s="7" t="str">
        <f t="shared" si="1"/>
        <v>NO</v>
      </c>
    </row>
    <row r="16" spans="1:11" x14ac:dyDescent="0.25">
      <c r="A16" s="7" t="s">
        <v>209</v>
      </c>
      <c r="B16" s="8" t="str">
        <f>'Grupo L'!$B$21</f>
        <v>Ghana</v>
      </c>
      <c r="C16" s="7">
        <f>'Grupo L'!$J$21</f>
        <v>0</v>
      </c>
      <c r="D16" s="7">
        <f>'Grupo L'!$I$21</f>
        <v>0</v>
      </c>
      <c r="E16" s="7">
        <f>'Grupo L'!$G$21</f>
        <v>0</v>
      </c>
      <c r="F16" s="7">
        <f>C16*1000000+D16*1000+E16+(1)/100</f>
        <v>0.01</v>
      </c>
      <c r="G16" s="20">
        <f t="shared" si="0"/>
        <v>11</v>
      </c>
      <c r="H16" s="7" t="str">
        <f t="shared" si="1"/>
        <v>NO</v>
      </c>
    </row>
    <row r="19" spans="1:11" x14ac:dyDescent="0.25">
      <c r="A19" s="27" t="s">
        <v>416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x14ac:dyDescent="0.25">
      <c r="A20" s="6" t="s">
        <v>417</v>
      </c>
      <c r="B20" s="6" t="s">
        <v>28</v>
      </c>
      <c r="C20" s="6" t="s">
        <v>55</v>
      </c>
      <c r="D20" s="6" t="s">
        <v>418</v>
      </c>
      <c r="E20" s="6" t="s">
        <v>159</v>
      </c>
      <c r="F20" s="6"/>
      <c r="G20" s="6" t="s">
        <v>172</v>
      </c>
      <c r="H20" s="6" t="s">
        <v>419</v>
      </c>
      <c r="I20" s="6" t="s">
        <v>420</v>
      </c>
      <c r="J20" s="6" t="s">
        <v>36</v>
      </c>
      <c r="K20" s="6" t="s">
        <v>421</v>
      </c>
    </row>
    <row r="21" spans="1:11" x14ac:dyDescent="0.25">
      <c r="A21" s="7" t="s">
        <v>422</v>
      </c>
      <c r="B21" s="7" t="s">
        <v>423</v>
      </c>
      <c r="C21" s="7" t="s">
        <v>63</v>
      </c>
      <c r="D21" s="10" t="str">
        <f>'Grupo A'!$B$20</f>
        <v>Corea del Sur</v>
      </c>
      <c r="E21" s="21"/>
      <c r="F21" s="7" t="s">
        <v>386</v>
      </c>
      <c r="G21" s="21"/>
      <c r="H21" s="8" t="str">
        <f>'Grupo B'!$B$20</f>
        <v>Bosnia y Herzegovina</v>
      </c>
      <c r="I21" s="22" t="str">
        <f t="shared" ref="I21:I36" si="2">IF(K21&lt;&gt;"",K21,IF(OR(E21="",G21=""),"",IF(E21&gt;G21,D21,IF(E21&lt;G21,H21,""))))</f>
        <v/>
      </c>
      <c r="J21" s="8" t="s">
        <v>89</v>
      </c>
      <c r="K21" s="23"/>
    </row>
    <row r="22" spans="1:11" x14ac:dyDescent="0.25">
      <c r="A22" s="7" t="s">
        <v>424</v>
      </c>
      <c r="B22" s="7" t="s">
        <v>425</v>
      </c>
      <c r="C22" s="7" t="s">
        <v>123</v>
      </c>
      <c r="D22" s="10" t="str">
        <f>'Grupo C'!$B$19</f>
        <v>Brasil</v>
      </c>
      <c r="E22" s="21"/>
      <c r="F22" s="7" t="s">
        <v>386</v>
      </c>
      <c r="G22" s="21"/>
      <c r="H22" s="8" t="str">
        <f>'Grupo F'!$B$20</f>
        <v>Japon</v>
      </c>
      <c r="I22" s="22" t="str">
        <f t="shared" si="2"/>
        <v/>
      </c>
      <c r="J22" s="8" t="s">
        <v>126</v>
      </c>
      <c r="K22" s="23"/>
    </row>
    <row r="23" spans="1:11" x14ac:dyDescent="0.25">
      <c r="A23" s="7" t="s">
        <v>426</v>
      </c>
      <c r="B23" s="7" t="s">
        <v>425</v>
      </c>
      <c r="C23" s="7" t="s">
        <v>427</v>
      </c>
      <c r="D23" s="10" t="str">
        <f>'Grupo E'!$B$19</f>
        <v>Alemania</v>
      </c>
      <c r="E23" s="21"/>
      <c r="F23" s="7" t="s">
        <v>386</v>
      </c>
      <c r="G23" s="21"/>
      <c r="H23" s="8" t="str">
        <f>INDEX($B$5:$B$16,MATCH(1,$G$5:$G$16,0))</f>
        <v>Sudafrica</v>
      </c>
      <c r="I23" s="22" t="str">
        <f t="shared" si="2"/>
        <v/>
      </c>
      <c r="J23" s="8" t="s">
        <v>428</v>
      </c>
      <c r="K23" s="23"/>
    </row>
    <row r="24" spans="1:11" x14ac:dyDescent="0.25">
      <c r="A24" s="7" t="s">
        <v>429</v>
      </c>
      <c r="B24" s="7" t="s">
        <v>425</v>
      </c>
      <c r="C24" s="7" t="s">
        <v>86</v>
      </c>
      <c r="D24" s="10" t="str">
        <f>'Grupo F'!$B$19</f>
        <v>Paises Bajos</v>
      </c>
      <c r="E24" s="21"/>
      <c r="F24" s="7" t="s">
        <v>386</v>
      </c>
      <c r="G24" s="21"/>
      <c r="H24" s="8" t="str">
        <f>'Grupo C'!$B$20</f>
        <v>Marruecos</v>
      </c>
      <c r="I24" s="22" t="str">
        <f t="shared" si="2"/>
        <v/>
      </c>
      <c r="J24" s="8" t="s">
        <v>147</v>
      </c>
      <c r="K24" s="23"/>
    </row>
    <row r="25" spans="1:11" x14ac:dyDescent="0.25">
      <c r="A25" s="7" t="s">
        <v>430</v>
      </c>
      <c r="B25" s="7" t="s">
        <v>431</v>
      </c>
      <c r="C25" s="7" t="s">
        <v>123</v>
      </c>
      <c r="D25" s="10" t="str">
        <f>'Grupo E'!$B$20</f>
        <v>Curazao</v>
      </c>
      <c r="E25" s="21"/>
      <c r="F25" s="7" t="s">
        <v>386</v>
      </c>
      <c r="G25" s="21"/>
      <c r="H25" s="8" t="str">
        <f>'Grupo I'!$B$20</f>
        <v>Senegal</v>
      </c>
      <c r="I25" s="22" t="str">
        <f t="shared" si="2"/>
        <v/>
      </c>
      <c r="J25" s="8" t="s">
        <v>432</v>
      </c>
      <c r="K25" s="23"/>
    </row>
    <row r="26" spans="1:11" x14ac:dyDescent="0.25">
      <c r="A26" s="7" t="s">
        <v>433</v>
      </c>
      <c r="B26" s="7" t="s">
        <v>431</v>
      </c>
      <c r="C26" s="7" t="s">
        <v>284</v>
      </c>
      <c r="D26" s="10" t="str">
        <f>'Grupo I'!$B$19</f>
        <v>Francia</v>
      </c>
      <c r="E26" s="21"/>
      <c r="F26" s="7" t="s">
        <v>386</v>
      </c>
      <c r="G26" s="21"/>
      <c r="H26" s="8" t="str">
        <f>INDEX($B$5:$B$16,MATCH(2,$G$5:$G$16,0))</f>
        <v>Haiti</v>
      </c>
      <c r="I26" s="22" t="str">
        <f t="shared" si="2"/>
        <v/>
      </c>
      <c r="J26" s="8" t="s">
        <v>104</v>
      </c>
      <c r="K26" s="23"/>
    </row>
    <row r="27" spans="1:11" x14ac:dyDescent="0.25">
      <c r="A27" s="7" t="s">
        <v>434</v>
      </c>
      <c r="B27" s="7" t="s">
        <v>431</v>
      </c>
      <c r="C27" s="7" t="s">
        <v>86</v>
      </c>
      <c r="D27" s="10" t="str">
        <f>'Grupo A'!$B$19</f>
        <v>Chequia</v>
      </c>
      <c r="E27" s="21"/>
      <c r="F27" s="7" t="s">
        <v>386</v>
      </c>
      <c r="G27" s="21"/>
      <c r="H27" s="8" t="str">
        <f>INDEX($B$5:$B$16,MATCH(3,$G$5:$G$16,0))</f>
        <v>Australia</v>
      </c>
      <c r="I27" s="22" t="str">
        <f t="shared" si="2"/>
        <v/>
      </c>
      <c r="J27" s="8" t="s">
        <v>66</v>
      </c>
      <c r="K27" s="23"/>
    </row>
    <row r="28" spans="1:11" x14ac:dyDescent="0.25">
      <c r="A28" s="7" t="s">
        <v>435</v>
      </c>
      <c r="B28" s="7" t="s">
        <v>436</v>
      </c>
      <c r="C28" s="7" t="s">
        <v>153</v>
      </c>
      <c r="D28" s="10" t="str">
        <f>'Grupo L'!$B$19</f>
        <v>Inglaterra</v>
      </c>
      <c r="E28" s="21"/>
      <c r="F28" s="7" t="s">
        <v>386</v>
      </c>
      <c r="G28" s="21"/>
      <c r="H28" s="8" t="str">
        <f>INDEX($B$5:$B$16,MATCH(4,$G$5:$G$16,0))</f>
        <v>Costa de Marfil</v>
      </c>
      <c r="I28" s="22" t="str">
        <f t="shared" si="2"/>
        <v/>
      </c>
      <c r="J28" s="8" t="s">
        <v>156</v>
      </c>
      <c r="K28" s="23"/>
    </row>
    <row r="29" spans="1:11" x14ac:dyDescent="0.25">
      <c r="A29" s="7" t="s">
        <v>437</v>
      </c>
      <c r="B29" s="7" t="s">
        <v>436</v>
      </c>
      <c r="C29" s="7" t="s">
        <v>131</v>
      </c>
      <c r="D29" s="10" t="str">
        <f>'Grupo G'!$B$19</f>
        <v>Belgica</v>
      </c>
      <c r="E29" s="21"/>
      <c r="F29" s="7" t="s">
        <v>386</v>
      </c>
      <c r="G29" s="21"/>
      <c r="H29" s="8" t="str">
        <f>INDEX($B$5:$B$16,MATCH(6,$G$5:$G$16,0))</f>
        <v>Iran</v>
      </c>
      <c r="I29" s="22" t="str">
        <f t="shared" si="2"/>
        <v/>
      </c>
      <c r="J29" s="8" t="s">
        <v>163</v>
      </c>
      <c r="K29" s="23"/>
    </row>
    <row r="30" spans="1:11" x14ac:dyDescent="0.25">
      <c r="A30" s="7" t="s">
        <v>438</v>
      </c>
      <c r="B30" s="7" t="s">
        <v>436</v>
      </c>
      <c r="C30" s="7" t="s">
        <v>260</v>
      </c>
      <c r="D30" s="10" t="str">
        <f>'Grupo D'!$B$19</f>
        <v>Estados Unidos</v>
      </c>
      <c r="E30" s="21"/>
      <c r="F30" s="7" t="s">
        <v>386</v>
      </c>
      <c r="G30" s="21"/>
      <c r="H30" s="8" t="str">
        <f>INDEX($B$5:$B$16,MATCH(5,$G$5:$G$16,0))</f>
        <v>Suecia</v>
      </c>
      <c r="I30" s="22" t="str">
        <f t="shared" si="2"/>
        <v/>
      </c>
      <c r="J30" s="8" t="s">
        <v>439</v>
      </c>
      <c r="K30" s="23"/>
    </row>
    <row r="31" spans="1:11" x14ac:dyDescent="0.25">
      <c r="A31" s="7" t="s">
        <v>440</v>
      </c>
      <c r="B31" s="7" t="s">
        <v>441</v>
      </c>
      <c r="C31" s="7" t="s">
        <v>63</v>
      </c>
      <c r="D31" s="10" t="str">
        <f>'Grupo H'!$B$19</f>
        <v>España</v>
      </c>
      <c r="E31" s="21"/>
      <c r="F31" s="7" t="s">
        <v>386</v>
      </c>
      <c r="G31" s="21"/>
      <c r="H31" s="8" t="str">
        <f>'Grupo J'!$B$20</f>
        <v>Argelia</v>
      </c>
      <c r="I31" s="22" t="str">
        <f t="shared" si="2"/>
        <v/>
      </c>
      <c r="J31" s="8" t="s">
        <v>89</v>
      </c>
      <c r="K31" s="23"/>
    </row>
    <row r="32" spans="1:11" x14ac:dyDescent="0.25">
      <c r="A32" s="7" t="s">
        <v>442</v>
      </c>
      <c r="B32" s="7" t="s">
        <v>441</v>
      </c>
      <c r="C32" s="7" t="s">
        <v>138</v>
      </c>
      <c r="D32" s="10" t="str">
        <f>'Grupo K'!$B$20</f>
        <v>RD del Congo</v>
      </c>
      <c r="E32" s="21"/>
      <c r="F32" s="7" t="s">
        <v>386</v>
      </c>
      <c r="G32" s="21"/>
      <c r="H32" s="8" t="str">
        <f>'Grupo L'!$B$20</f>
        <v>Croacia</v>
      </c>
      <c r="I32" s="22" t="str">
        <f t="shared" si="2"/>
        <v/>
      </c>
      <c r="J32" s="8" t="s">
        <v>81</v>
      </c>
      <c r="K32" s="23"/>
    </row>
    <row r="33" spans="1:11" x14ac:dyDescent="0.25">
      <c r="A33" s="7" t="s">
        <v>443</v>
      </c>
      <c r="B33" s="7" t="s">
        <v>444</v>
      </c>
      <c r="C33" s="7" t="s">
        <v>250</v>
      </c>
      <c r="D33" s="10" t="str">
        <f>'Grupo B'!$B$19</f>
        <v>Suiza</v>
      </c>
      <c r="E33" s="21"/>
      <c r="F33" s="7" t="s">
        <v>386</v>
      </c>
      <c r="G33" s="21"/>
      <c r="H33" s="8" t="str">
        <f>INDEX($B$5:$B$16,MATCH(7,$G$5:$G$16,0))</f>
        <v>Arabia Saudita</v>
      </c>
      <c r="I33" s="22" t="str">
        <f t="shared" si="2"/>
        <v/>
      </c>
      <c r="J33" s="8" t="s">
        <v>118</v>
      </c>
      <c r="K33" s="23"/>
    </row>
    <row r="34" spans="1:11" x14ac:dyDescent="0.25">
      <c r="A34" s="7" t="s">
        <v>445</v>
      </c>
      <c r="B34" s="7" t="s">
        <v>444</v>
      </c>
      <c r="C34" s="7" t="s">
        <v>446</v>
      </c>
      <c r="D34" s="10" t="str">
        <f>'Grupo D'!$B$20</f>
        <v>Paraguay</v>
      </c>
      <c r="E34" s="21"/>
      <c r="F34" s="7" t="s">
        <v>386</v>
      </c>
      <c r="G34" s="21"/>
      <c r="H34" s="8" t="str">
        <f>'Grupo G'!$B$20</f>
        <v>Egipto</v>
      </c>
      <c r="I34" s="22" t="str">
        <f t="shared" si="2"/>
        <v/>
      </c>
      <c r="J34" s="8" t="s">
        <v>432</v>
      </c>
      <c r="K34" s="23"/>
    </row>
    <row r="35" spans="1:11" x14ac:dyDescent="0.25">
      <c r="A35" s="7" t="s">
        <v>447</v>
      </c>
      <c r="B35" s="7" t="s">
        <v>444</v>
      </c>
      <c r="C35" s="7" t="s">
        <v>101</v>
      </c>
      <c r="D35" s="10" t="str">
        <f>'Grupo J'!$B$19</f>
        <v>Argentina</v>
      </c>
      <c r="E35" s="21"/>
      <c r="F35" s="7" t="s">
        <v>386</v>
      </c>
      <c r="G35" s="21"/>
      <c r="H35" s="8" t="str">
        <f>'Grupo H'!$B$20</f>
        <v>Cabo Verde</v>
      </c>
      <c r="I35" s="22" t="str">
        <f t="shared" si="2"/>
        <v/>
      </c>
      <c r="J35" s="8" t="s">
        <v>169</v>
      </c>
      <c r="K35" s="23"/>
    </row>
    <row r="36" spans="1:11" x14ac:dyDescent="0.25">
      <c r="A36" s="7" t="s">
        <v>448</v>
      </c>
      <c r="B36" s="7" t="s">
        <v>444</v>
      </c>
      <c r="C36" s="7" t="s">
        <v>449</v>
      </c>
      <c r="D36" s="10" t="str">
        <f>'Grupo K'!$B$19</f>
        <v>Portugal</v>
      </c>
      <c r="E36" s="21"/>
      <c r="F36" s="7" t="s">
        <v>386</v>
      </c>
      <c r="G36" s="21"/>
      <c r="H36" s="8" t="str">
        <f>INDEX($B$5:$B$16,MATCH(8,$G$5:$G$16,0))</f>
        <v>Irak</v>
      </c>
      <c r="I36" s="22" t="str">
        <f t="shared" si="2"/>
        <v/>
      </c>
      <c r="J36" s="8" t="s">
        <v>193</v>
      </c>
      <c r="K36" s="23"/>
    </row>
    <row r="38" spans="1:11" x14ac:dyDescent="0.25">
      <c r="A38" s="27" t="s">
        <v>450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 x14ac:dyDescent="0.25">
      <c r="A39" s="6" t="s">
        <v>417</v>
      </c>
      <c r="B39" s="6" t="s">
        <v>28</v>
      </c>
      <c r="C39" s="6" t="s">
        <v>55</v>
      </c>
      <c r="D39" s="6" t="s">
        <v>418</v>
      </c>
      <c r="E39" s="6" t="s">
        <v>159</v>
      </c>
      <c r="F39" s="6"/>
      <c r="G39" s="6" t="s">
        <v>172</v>
      </c>
      <c r="H39" s="6" t="s">
        <v>419</v>
      </c>
      <c r="I39" s="6" t="s">
        <v>420</v>
      </c>
      <c r="J39" s="6" t="s">
        <v>36</v>
      </c>
      <c r="K39" s="6" t="s">
        <v>421</v>
      </c>
    </row>
    <row r="40" spans="1:11" x14ac:dyDescent="0.25">
      <c r="A40" s="7" t="s">
        <v>451</v>
      </c>
      <c r="B40" s="7" t="s">
        <v>452</v>
      </c>
      <c r="C40" s="7" t="s">
        <v>123</v>
      </c>
      <c r="D40" s="10" t="str">
        <f>I21</f>
        <v/>
      </c>
      <c r="E40" s="21"/>
      <c r="F40" s="7" t="s">
        <v>386</v>
      </c>
      <c r="G40" s="21"/>
      <c r="H40" s="8" t="str">
        <f>I24</f>
        <v/>
      </c>
      <c r="I40" s="22" t="str">
        <f t="shared" ref="I40:I47" si="3">IF(K40&lt;&gt;"",K40,IF(OR(E40="",G40=""),"",IF(E40&gt;G40,D40,IF(E40&lt;G40,H40,""))))</f>
        <v/>
      </c>
      <c r="J40" s="8" t="s">
        <v>126</v>
      </c>
      <c r="K40" s="23"/>
    </row>
    <row r="41" spans="1:11" x14ac:dyDescent="0.25">
      <c r="A41" s="7" t="s">
        <v>453</v>
      </c>
      <c r="B41" s="7" t="s">
        <v>452</v>
      </c>
      <c r="C41" s="7" t="s">
        <v>284</v>
      </c>
      <c r="D41" s="10" t="str">
        <f>I23</f>
        <v/>
      </c>
      <c r="E41" s="21"/>
      <c r="F41" s="7" t="s">
        <v>386</v>
      </c>
      <c r="G41" s="21"/>
      <c r="H41" s="8" t="str">
        <f>I26</f>
        <v/>
      </c>
      <c r="I41" s="22" t="str">
        <f t="shared" si="3"/>
        <v/>
      </c>
      <c r="J41" s="8" t="s">
        <v>141</v>
      </c>
      <c r="K41" s="23"/>
    </row>
    <row r="42" spans="1:11" x14ac:dyDescent="0.25">
      <c r="A42" s="7" t="s">
        <v>454</v>
      </c>
      <c r="B42" s="7" t="s">
        <v>455</v>
      </c>
      <c r="C42" s="7" t="s">
        <v>131</v>
      </c>
      <c r="D42" s="10" t="str">
        <f>I22</f>
        <v/>
      </c>
      <c r="E42" s="21"/>
      <c r="F42" s="7" t="s">
        <v>386</v>
      </c>
      <c r="G42" s="21"/>
      <c r="H42" s="8" t="str">
        <f>I25</f>
        <v/>
      </c>
      <c r="I42" s="22" t="str">
        <f t="shared" si="3"/>
        <v/>
      </c>
      <c r="J42" s="8" t="s">
        <v>104</v>
      </c>
      <c r="K42" s="23"/>
    </row>
    <row r="43" spans="1:11" x14ac:dyDescent="0.25">
      <c r="A43" s="7" t="s">
        <v>456</v>
      </c>
      <c r="B43" s="7" t="s">
        <v>455</v>
      </c>
      <c r="C43" s="7" t="s">
        <v>260</v>
      </c>
      <c r="D43" s="10" t="str">
        <f>I27</f>
        <v/>
      </c>
      <c r="E43" s="21"/>
      <c r="F43" s="7" t="s">
        <v>386</v>
      </c>
      <c r="G43" s="21"/>
      <c r="H43" s="8" t="str">
        <f>I28</f>
        <v/>
      </c>
      <c r="I43" s="22" t="str">
        <f t="shared" si="3"/>
        <v/>
      </c>
      <c r="J43" s="8" t="s">
        <v>66</v>
      </c>
      <c r="K43" s="23"/>
    </row>
    <row r="44" spans="1:11" x14ac:dyDescent="0.25">
      <c r="A44" s="7" t="s">
        <v>457</v>
      </c>
      <c r="B44" s="7" t="s">
        <v>458</v>
      </c>
      <c r="C44" s="7" t="s">
        <v>63</v>
      </c>
      <c r="D44" s="10" t="str">
        <f>I32</f>
        <v/>
      </c>
      <c r="E44" s="21"/>
      <c r="F44" s="7" t="s">
        <v>386</v>
      </c>
      <c r="G44" s="21"/>
      <c r="H44" s="8" t="str">
        <f>I31</f>
        <v/>
      </c>
      <c r="I44" s="22" t="str">
        <f t="shared" si="3"/>
        <v/>
      </c>
      <c r="J44" s="8" t="s">
        <v>432</v>
      </c>
      <c r="K44" s="23"/>
    </row>
    <row r="45" spans="1:11" x14ac:dyDescent="0.25">
      <c r="A45" s="7" t="s">
        <v>459</v>
      </c>
      <c r="B45" s="7" t="s">
        <v>458</v>
      </c>
      <c r="C45" s="7" t="s">
        <v>260</v>
      </c>
      <c r="D45" s="10" t="str">
        <f>I30</f>
        <v/>
      </c>
      <c r="E45" s="21"/>
      <c r="F45" s="7" t="s">
        <v>386</v>
      </c>
      <c r="G45" s="21"/>
      <c r="H45" s="8" t="str">
        <f>I29</f>
        <v/>
      </c>
      <c r="I45" s="22" t="str">
        <f t="shared" si="3"/>
        <v/>
      </c>
      <c r="J45" s="8" t="s">
        <v>163</v>
      </c>
      <c r="K45" s="23"/>
    </row>
    <row r="46" spans="1:11" x14ac:dyDescent="0.25">
      <c r="A46" s="7" t="s">
        <v>460</v>
      </c>
      <c r="B46" s="7" t="s">
        <v>461</v>
      </c>
      <c r="C46" s="7" t="s">
        <v>153</v>
      </c>
      <c r="D46" s="10" t="str">
        <f>I35</f>
        <v/>
      </c>
      <c r="E46" s="21"/>
      <c r="F46" s="7" t="s">
        <v>386</v>
      </c>
      <c r="G46" s="21"/>
      <c r="H46" s="8" t="str">
        <f>I34</f>
        <v/>
      </c>
      <c r="I46" s="22" t="str">
        <f t="shared" si="3"/>
        <v/>
      </c>
      <c r="J46" s="8" t="s">
        <v>156</v>
      </c>
      <c r="K46" s="23"/>
    </row>
    <row r="47" spans="1:11" x14ac:dyDescent="0.25">
      <c r="A47" s="7" t="s">
        <v>462</v>
      </c>
      <c r="B47" s="7" t="s">
        <v>461</v>
      </c>
      <c r="C47" s="7" t="s">
        <v>131</v>
      </c>
      <c r="D47" s="10" t="str">
        <f>I33</f>
        <v/>
      </c>
      <c r="E47" s="21"/>
      <c r="F47" s="7" t="s">
        <v>386</v>
      </c>
      <c r="G47" s="21"/>
      <c r="H47" s="8" t="str">
        <f>I36</f>
        <v/>
      </c>
      <c r="I47" s="22" t="str">
        <f t="shared" si="3"/>
        <v/>
      </c>
      <c r="J47" s="8" t="s">
        <v>118</v>
      </c>
      <c r="K47" s="23"/>
    </row>
    <row r="49" spans="1:11" x14ac:dyDescent="0.25">
      <c r="A49" s="27" t="s">
        <v>463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 x14ac:dyDescent="0.25">
      <c r="A50" s="6" t="s">
        <v>417</v>
      </c>
      <c r="B50" s="6" t="s">
        <v>28</v>
      </c>
      <c r="C50" s="6" t="s">
        <v>55</v>
      </c>
      <c r="D50" s="6" t="s">
        <v>418</v>
      </c>
      <c r="E50" s="6" t="s">
        <v>159</v>
      </c>
      <c r="F50" s="6"/>
      <c r="G50" s="6" t="s">
        <v>172</v>
      </c>
      <c r="H50" s="6" t="s">
        <v>419</v>
      </c>
      <c r="I50" s="6" t="s">
        <v>420</v>
      </c>
      <c r="J50" s="6" t="s">
        <v>36</v>
      </c>
      <c r="K50" s="6" t="s">
        <v>421</v>
      </c>
    </row>
    <row r="51" spans="1:11" x14ac:dyDescent="0.25">
      <c r="A51" s="7" t="s">
        <v>464</v>
      </c>
      <c r="B51" s="7" t="s">
        <v>465</v>
      </c>
      <c r="C51" s="7" t="s">
        <v>131</v>
      </c>
      <c r="D51" s="10" t="str">
        <f>I41</f>
        <v/>
      </c>
      <c r="E51" s="21"/>
      <c r="F51" s="7" t="s">
        <v>386</v>
      </c>
      <c r="G51" s="21"/>
      <c r="H51" s="8" t="str">
        <f>I40</f>
        <v/>
      </c>
      <c r="I51" s="22" t="str">
        <f>IF(K51&lt;&gt;"",K51,IF(OR(E51="",G51=""),"",IF(E51&gt;G51,D51,IF(E51&lt;G51,H51,""))))</f>
        <v/>
      </c>
      <c r="J51" s="8" t="s">
        <v>428</v>
      </c>
      <c r="K51" s="23"/>
    </row>
    <row r="52" spans="1:11" x14ac:dyDescent="0.25">
      <c r="A52" s="7" t="s">
        <v>466</v>
      </c>
      <c r="B52" s="7" t="s">
        <v>467</v>
      </c>
      <c r="C52" s="7" t="s">
        <v>63</v>
      </c>
      <c r="D52" s="10" t="str">
        <f>I44</f>
        <v/>
      </c>
      <c r="E52" s="21"/>
      <c r="F52" s="7" t="s">
        <v>386</v>
      </c>
      <c r="G52" s="21"/>
      <c r="H52" s="8" t="str">
        <f>I45</f>
        <v/>
      </c>
      <c r="I52" s="22" t="str">
        <f>IF(K52&lt;&gt;"",K52,IF(OR(E52="",G52=""),"",IF(E52&gt;G52,D52,IF(E52&lt;G52,H52,""))))</f>
        <v/>
      </c>
      <c r="J52" s="8" t="s">
        <v>89</v>
      </c>
      <c r="K52" s="23"/>
    </row>
    <row r="53" spans="1:11" x14ac:dyDescent="0.25">
      <c r="A53" s="7" t="s">
        <v>468</v>
      </c>
      <c r="B53" s="7" t="s">
        <v>469</v>
      </c>
      <c r="C53" s="7" t="s">
        <v>284</v>
      </c>
      <c r="D53" s="10" t="str">
        <f>I42</f>
        <v/>
      </c>
      <c r="E53" s="21"/>
      <c r="F53" s="7" t="s">
        <v>386</v>
      </c>
      <c r="G53" s="21"/>
      <c r="H53" s="8" t="str">
        <f>I43</f>
        <v/>
      </c>
      <c r="I53" s="22" t="str">
        <f>IF(K53&lt;&gt;"",K53,IF(OR(E53="",G53=""),"",IF(E53&gt;G53,D53,IF(E53&lt;G53,H53,""))))</f>
        <v/>
      </c>
      <c r="J53" s="8" t="s">
        <v>169</v>
      </c>
      <c r="K53" s="23"/>
    </row>
    <row r="54" spans="1:11" x14ac:dyDescent="0.25">
      <c r="A54" s="7" t="s">
        <v>470</v>
      </c>
      <c r="B54" s="7" t="s">
        <v>469</v>
      </c>
      <c r="C54" s="7" t="s">
        <v>86</v>
      </c>
      <c r="D54" s="10" t="str">
        <f>I46</f>
        <v/>
      </c>
      <c r="E54" s="21"/>
      <c r="F54" s="7" t="s">
        <v>386</v>
      </c>
      <c r="G54" s="21"/>
      <c r="H54" s="8" t="str">
        <f>I47</f>
        <v/>
      </c>
      <c r="I54" s="22" t="str">
        <f>IF(K54&lt;&gt;"",K54,IF(OR(E54="",G54=""),"",IF(E54&gt;G54,D54,IF(E54&lt;G54,H54,""))))</f>
        <v/>
      </c>
      <c r="J54" s="8" t="s">
        <v>193</v>
      </c>
      <c r="K54" s="23"/>
    </row>
    <row r="56" spans="1:11" x14ac:dyDescent="0.25">
      <c r="A56" s="27" t="s">
        <v>471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x14ac:dyDescent="0.25">
      <c r="A57" s="6" t="s">
        <v>417</v>
      </c>
      <c r="B57" s="6" t="s">
        <v>28</v>
      </c>
      <c r="C57" s="6" t="s">
        <v>55</v>
      </c>
      <c r="D57" s="6" t="s">
        <v>418</v>
      </c>
      <c r="E57" s="6" t="s">
        <v>159</v>
      </c>
      <c r="F57" s="6"/>
      <c r="G57" s="6" t="s">
        <v>172</v>
      </c>
      <c r="H57" s="6" t="s">
        <v>419</v>
      </c>
      <c r="I57" s="6" t="s">
        <v>420</v>
      </c>
      <c r="J57" s="6" t="s">
        <v>36</v>
      </c>
      <c r="K57" s="6" t="s">
        <v>421</v>
      </c>
    </row>
    <row r="58" spans="1:11" x14ac:dyDescent="0.25">
      <c r="A58" s="7" t="s">
        <v>472</v>
      </c>
      <c r="B58" s="7" t="s">
        <v>473</v>
      </c>
      <c r="C58" s="7" t="s">
        <v>63</v>
      </c>
      <c r="D58" s="10" t="str">
        <f>I51</f>
        <v/>
      </c>
      <c r="E58" s="21"/>
      <c r="F58" s="7" t="s">
        <v>386</v>
      </c>
      <c r="G58" s="21"/>
      <c r="H58" s="8" t="str">
        <f>I52</f>
        <v/>
      </c>
      <c r="I58" s="22" t="str">
        <f>IF(K58&lt;&gt;"",K58,IF(OR(E58="",G58=""),"",IF(E58&gt;G58,D58,IF(E58&lt;G58,H58,""))))</f>
        <v/>
      </c>
      <c r="J58" s="8" t="s">
        <v>432</v>
      </c>
      <c r="K58" s="23"/>
    </row>
    <row r="59" spans="1:11" x14ac:dyDescent="0.25">
      <c r="A59" s="7" t="s">
        <v>474</v>
      </c>
      <c r="B59" s="7" t="s">
        <v>475</v>
      </c>
      <c r="C59" s="7" t="s">
        <v>63</v>
      </c>
      <c r="D59" s="10" t="str">
        <f>I53</f>
        <v/>
      </c>
      <c r="E59" s="21"/>
      <c r="F59" s="7" t="s">
        <v>386</v>
      </c>
      <c r="G59" s="21"/>
      <c r="H59" s="8" t="str">
        <f>I54</f>
        <v/>
      </c>
      <c r="I59" s="22" t="str">
        <f>IF(K59&lt;&gt;"",K59,IF(OR(E59="",G59=""),"",IF(E59&gt;G59,D59,IF(E59&lt;G59,H59,""))))</f>
        <v/>
      </c>
      <c r="J59" s="8" t="s">
        <v>156</v>
      </c>
      <c r="K59" s="23"/>
    </row>
    <row r="61" spans="1:11" x14ac:dyDescent="0.25">
      <c r="A61" s="27" t="s">
        <v>476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x14ac:dyDescent="0.25">
      <c r="A62" s="6" t="s">
        <v>417</v>
      </c>
      <c r="B62" s="6" t="s">
        <v>28</v>
      </c>
      <c r="C62" s="6" t="s">
        <v>55</v>
      </c>
      <c r="D62" s="6" t="s">
        <v>418</v>
      </c>
      <c r="E62" s="6" t="s">
        <v>159</v>
      </c>
      <c r="F62" s="6"/>
      <c r="G62" s="6" t="s">
        <v>172</v>
      </c>
      <c r="H62" s="6" t="s">
        <v>419</v>
      </c>
      <c r="I62" s="6" t="s">
        <v>420</v>
      </c>
      <c r="J62" s="6" t="s">
        <v>36</v>
      </c>
      <c r="K62" s="6" t="s">
        <v>421</v>
      </c>
    </row>
    <row r="63" spans="1:11" x14ac:dyDescent="0.25">
      <c r="A63" s="7" t="s">
        <v>477</v>
      </c>
      <c r="B63" s="7" t="s">
        <v>478</v>
      </c>
      <c r="C63" s="7" t="s">
        <v>284</v>
      </c>
      <c r="D63" s="10" t="str">
        <f>IF(I58="","",IF(I58=D58,H58,D58))</f>
        <v/>
      </c>
      <c r="E63" s="21"/>
      <c r="F63" s="7" t="s">
        <v>386</v>
      </c>
      <c r="G63" s="21"/>
      <c r="H63" s="8" t="str">
        <f>IF(I59="","",IF(I59=D59,H59,D59))</f>
        <v/>
      </c>
      <c r="I63" s="22" t="str">
        <f>IF(K63&lt;&gt;"",K63,IF(OR(E63="",G63=""),"",IF(E63&gt;G63,D63,IF(E63&lt;G63,H63,""))))</f>
        <v/>
      </c>
      <c r="J63" s="8" t="s">
        <v>169</v>
      </c>
      <c r="K63" s="23"/>
    </row>
    <row r="65" spans="1:11" x14ac:dyDescent="0.25">
      <c r="A65" s="27" t="s">
        <v>479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spans="1:11" x14ac:dyDescent="0.25">
      <c r="A66" s="6" t="s">
        <v>417</v>
      </c>
      <c r="B66" s="6" t="s">
        <v>28</v>
      </c>
      <c r="C66" s="6" t="s">
        <v>55</v>
      </c>
      <c r="D66" s="6" t="s">
        <v>418</v>
      </c>
      <c r="E66" s="6" t="s">
        <v>159</v>
      </c>
      <c r="F66" s="6"/>
      <c r="G66" s="6" t="s">
        <v>172</v>
      </c>
      <c r="H66" s="6" t="s">
        <v>419</v>
      </c>
      <c r="I66" s="6" t="s">
        <v>420</v>
      </c>
      <c r="J66" s="6" t="s">
        <v>36</v>
      </c>
      <c r="K66" s="6" t="s">
        <v>421</v>
      </c>
    </row>
    <row r="67" spans="1:11" x14ac:dyDescent="0.25">
      <c r="A67" s="7" t="s">
        <v>480</v>
      </c>
      <c r="B67" s="7" t="s">
        <v>481</v>
      </c>
      <c r="C67" s="7" t="s">
        <v>63</v>
      </c>
      <c r="D67" s="10" t="str">
        <f>I58</f>
        <v/>
      </c>
      <c r="E67" s="21"/>
      <c r="F67" s="7" t="s">
        <v>386</v>
      </c>
      <c r="G67" s="21"/>
      <c r="H67" s="8" t="str">
        <f>I59</f>
        <v/>
      </c>
      <c r="I67" s="22" t="str">
        <f>IF(K67&lt;&gt;"",K67,IF(OR(E67="",G67=""),"",IF(E67&gt;G67,D67,IF(E67&lt;G67,H67,""))))</f>
        <v/>
      </c>
      <c r="J67" s="8" t="s">
        <v>104</v>
      </c>
      <c r="K67" s="23"/>
    </row>
    <row r="70" spans="1:11" x14ac:dyDescent="0.25">
      <c r="A70" s="28" t="s">
        <v>482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spans="1:11" x14ac:dyDescent="0.25">
      <c r="A71" s="28" t="s">
        <v>483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</row>
  </sheetData>
  <mergeCells count="9">
    <mergeCell ref="A61:K61"/>
    <mergeCell ref="A65:K65"/>
    <mergeCell ref="A70:K70"/>
    <mergeCell ref="A71:K71"/>
    <mergeCell ref="A1:K1"/>
    <mergeCell ref="A19:K19"/>
    <mergeCell ref="A38:K38"/>
    <mergeCell ref="A49:K49"/>
    <mergeCell ref="A56:K56"/>
  </mergeCells>
  <conditionalFormatting sqref="H5:H16">
    <cfRule type="cellIs" dxfId="1" priority="2" operator="equal">
      <formula>"SI"</formula>
    </cfRule>
    <cfRule type="cellIs" dxfId="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Esquema</vt:lpstr>
      <vt:lpstr>Partidos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Grupo I</vt:lpstr>
      <vt:lpstr>Grupo J</vt:lpstr>
      <vt:lpstr>Grupo K</vt:lpstr>
      <vt:lpstr>Grupo L</vt:lpstr>
      <vt:lpstr>Eliminatorias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Maletti</cp:lastModifiedBy>
  <cp:revision>0</cp:revision>
  <dcterms:created xsi:type="dcterms:W3CDTF">2026-05-23T02:55:19Z</dcterms:created>
  <dcterms:modified xsi:type="dcterms:W3CDTF">2026-05-23T04:58:00Z</dcterms:modified>
  <dc:language>en-US</dc:language>
</cp:coreProperties>
</file>